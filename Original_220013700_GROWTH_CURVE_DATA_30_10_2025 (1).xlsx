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\Documents\Honours_2025_GENETICS\Research project\"/>
    </mc:Choice>
  </mc:AlternateContent>
  <xr:revisionPtr revIDLastSave="0" documentId="8_{D1A3D286-7672-4215-B7A9-EC5770632F1C}" xr6:coauthVersionLast="47" xr6:coauthVersionMax="47" xr10:uidLastSave="{00000000-0000-0000-0000-000000000000}"/>
  <bookViews>
    <workbookView xWindow="-108" yWindow="-108" windowWidth="23256" windowHeight="12456" xr2:uid="{24507629-E844-42F0-9B56-93BED71AD3FD}"/>
  </bookViews>
  <sheets>
    <sheet name="220013700_GROWTH_CURVE_DATA_07_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5" i="1"/>
  <c r="A7" i="1"/>
  <c r="AH7" i="1"/>
  <c r="AF7" i="1"/>
  <c r="AD7" i="1"/>
  <c r="AB7" i="1"/>
  <c r="Z7" i="1"/>
  <c r="X7" i="1"/>
  <c r="V7" i="1"/>
  <c r="T7" i="1"/>
  <c r="B26" i="1"/>
  <c r="A26" i="1" s="1"/>
  <c r="B25" i="1"/>
  <c r="A25" i="1" s="1"/>
  <c r="B23" i="1"/>
  <c r="B22" i="1"/>
  <c r="B27" i="1" s="1"/>
  <c r="R24" i="1"/>
  <c r="R28" i="1" s="1"/>
  <c r="R32" i="1" s="1"/>
  <c r="R36" i="1" s="1"/>
  <c r="R40" i="1" s="1"/>
  <c r="R44" i="1" s="1"/>
  <c r="R48" i="1" s="1"/>
  <c r="R25" i="1"/>
  <c r="R29" i="1" s="1"/>
  <c r="R33" i="1" s="1"/>
  <c r="R37" i="1" s="1"/>
  <c r="R41" i="1" s="1"/>
  <c r="R45" i="1" s="1"/>
  <c r="R49" i="1" s="1"/>
  <c r="R26" i="1"/>
  <c r="R30" i="1" s="1"/>
  <c r="R34" i="1" s="1"/>
  <c r="R38" i="1" s="1"/>
  <c r="R42" i="1" s="1"/>
  <c r="R46" i="1" s="1"/>
  <c r="R50" i="1" s="1"/>
  <c r="R27" i="1"/>
  <c r="R31" i="1" s="1"/>
  <c r="R35" i="1" s="1"/>
  <c r="R39" i="1" s="1"/>
  <c r="R43" i="1" s="1"/>
  <c r="R47" i="1" s="1"/>
  <c r="R51" i="1" s="1"/>
  <c r="T24" i="1"/>
  <c r="T28" i="1" s="1"/>
  <c r="T32" i="1" s="1"/>
  <c r="T36" i="1" s="1"/>
  <c r="T40" i="1" s="1"/>
  <c r="T44" i="1" s="1"/>
  <c r="T48" i="1" s="1"/>
  <c r="T25" i="1"/>
  <c r="T29" i="1" s="1"/>
  <c r="T33" i="1" s="1"/>
  <c r="T37" i="1" s="1"/>
  <c r="T41" i="1" s="1"/>
  <c r="T45" i="1" s="1"/>
  <c r="T49" i="1" s="1"/>
  <c r="T26" i="1"/>
  <c r="T30" i="1" s="1"/>
  <c r="T34" i="1" s="1"/>
  <c r="T38" i="1" s="1"/>
  <c r="T42" i="1" s="1"/>
  <c r="T46" i="1" s="1"/>
  <c r="T50" i="1" s="1"/>
  <c r="T27" i="1"/>
  <c r="T31" i="1" s="1"/>
  <c r="T35" i="1" s="1"/>
  <c r="T39" i="1" s="1"/>
  <c r="T43" i="1" s="1"/>
  <c r="T47" i="1" s="1"/>
  <c r="T51" i="1" s="1"/>
  <c r="A17" i="1"/>
  <c r="A10" i="1"/>
  <c r="A11" i="1"/>
  <c r="A12" i="1"/>
  <c r="A13" i="1"/>
  <c r="A9" i="1"/>
  <c r="AH5" i="1"/>
  <c r="AH6" i="1" s="1"/>
  <c r="AF5" i="1"/>
  <c r="AF6" i="1" s="1"/>
  <c r="AD5" i="1"/>
  <c r="AD6" i="1" s="1"/>
  <c r="AB5" i="1"/>
  <c r="AB6" i="1" s="1"/>
  <c r="Z5" i="1"/>
  <c r="Z6" i="1" s="1"/>
  <c r="X5" i="1"/>
  <c r="X6" i="1" s="1"/>
  <c r="V5" i="1"/>
  <c r="V6" i="1" s="1"/>
  <c r="T5" i="1"/>
  <c r="T6" i="1" s="1"/>
  <c r="R5" i="1"/>
  <c r="R6" i="1" s="1"/>
  <c r="R7" i="1" s="1"/>
  <c r="P5" i="1"/>
  <c r="P6" i="1" s="1"/>
  <c r="P7" i="1" s="1"/>
  <c r="N5" i="1"/>
  <c r="N6" i="1" s="1"/>
  <c r="N7" i="1" s="1"/>
  <c r="L5" i="1"/>
  <c r="L6" i="1" s="1"/>
  <c r="L7" i="1" s="1"/>
  <c r="J5" i="1"/>
  <c r="J6" i="1" s="1"/>
  <c r="J7" i="1" s="1"/>
  <c r="H5" i="1"/>
  <c r="H6" i="1" s="1"/>
  <c r="H7" i="1" s="1"/>
  <c r="F5" i="1"/>
  <c r="F6" i="1" s="1"/>
  <c r="F7" i="1" s="1"/>
  <c r="H29" i="1"/>
  <c r="H33" i="1" s="1"/>
  <c r="H37" i="1" s="1"/>
  <c r="H41" i="1" s="1"/>
  <c r="H45" i="1" s="1"/>
  <c r="H49" i="1" s="1"/>
  <c r="H28" i="1"/>
  <c r="H32" i="1" s="1"/>
  <c r="H36" i="1" s="1"/>
  <c r="H40" i="1" s="1"/>
  <c r="H44" i="1" s="1"/>
  <c r="H48" i="1" s="1"/>
  <c r="H27" i="1"/>
  <c r="H31" i="1" s="1"/>
  <c r="H35" i="1" s="1"/>
  <c r="H39" i="1" s="1"/>
  <c r="H43" i="1" s="1"/>
  <c r="H47" i="1" s="1"/>
  <c r="H51" i="1" s="1"/>
  <c r="V25" i="1"/>
  <c r="V29" i="1" s="1"/>
  <c r="V33" i="1" s="1"/>
  <c r="V37" i="1" s="1"/>
  <c r="V41" i="1" s="1"/>
  <c r="V45" i="1" s="1"/>
  <c r="V49" i="1" s="1"/>
  <c r="P25" i="1"/>
  <c r="P29" i="1" s="1"/>
  <c r="P33" i="1" s="1"/>
  <c r="P37" i="1" s="1"/>
  <c r="P41" i="1" s="1"/>
  <c r="P45" i="1" s="1"/>
  <c r="P49" i="1" s="1"/>
  <c r="N25" i="1"/>
  <c r="N29" i="1" s="1"/>
  <c r="N33" i="1" s="1"/>
  <c r="N37" i="1" s="1"/>
  <c r="N41" i="1" s="1"/>
  <c r="N45" i="1" s="1"/>
  <c r="N49" i="1" s="1"/>
  <c r="L25" i="1"/>
  <c r="L29" i="1" s="1"/>
  <c r="L33" i="1" s="1"/>
  <c r="L37" i="1" s="1"/>
  <c r="L41" i="1" s="1"/>
  <c r="L45" i="1" s="1"/>
  <c r="L49" i="1" s="1"/>
  <c r="J25" i="1"/>
  <c r="J29" i="1" s="1"/>
  <c r="J33" i="1" s="1"/>
  <c r="J37" i="1" s="1"/>
  <c r="J41" i="1" s="1"/>
  <c r="J45" i="1" s="1"/>
  <c r="J49" i="1" s="1"/>
  <c r="F25" i="1"/>
  <c r="F29" i="1" s="1"/>
  <c r="F33" i="1" s="1"/>
  <c r="F37" i="1" s="1"/>
  <c r="F41" i="1" s="1"/>
  <c r="F45" i="1" s="1"/>
  <c r="F49" i="1" s="1"/>
  <c r="V24" i="1"/>
  <c r="V28" i="1" s="1"/>
  <c r="V32" i="1" s="1"/>
  <c r="V36" i="1" s="1"/>
  <c r="V40" i="1" s="1"/>
  <c r="V44" i="1" s="1"/>
  <c r="V48" i="1" s="1"/>
  <c r="P24" i="1"/>
  <c r="P28" i="1" s="1"/>
  <c r="P32" i="1" s="1"/>
  <c r="P36" i="1" s="1"/>
  <c r="P40" i="1" s="1"/>
  <c r="P44" i="1" s="1"/>
  <c r="P48" i="1" s="1"/>
  <c r="N24" i="1"/>
  <c r="N28" i="1" s="1"/>
  <c r="N32" i="1" s="1"/>
  <c r="N36" i="1" s="1"/>
  <c r="N40" i="1" s="1"/>
  <c r="N44" i="1" s="1"/>
  <c r="N48" i="1" s="1"/>
  <c r="L24" i="1"/>
  <c r="L28" i="1" s="1"/>
  <c r="L32" i="1" s="1"/>
  <c r="L36" i="1" s="1"/>
  <c r="L40" i="1" s="1"/>
  <c r="L44" i="1" s="1"/>
  <c r="L48" i="1" s="1"/>
  <c r="J24" i="1"/>
  <c r="J28" i="1" s="1"/>
  <c r="J32" i="1" s="1"/>
  <c r="J36" i="1" s="1"/>
  <c r="J40" i="1" s="1"/>
  <c r="J44" i="1" s="1"/>
  <c r="J48" i="1" s="1"/>
  <c r="F24" i="1"/>
  <c r="F28" i="1" s="1"/>
  <c r="F32" i="1" s="1"/>
  <c r="F36" i="1" s="1"/>
  <c r="F40" i="1" s="1"/>
  <c r="F44" i="1" s="1"/>
  <c r="F48" i="1" s="1"/>
  <c r="A24" i="1"/>
  <c r="V27" i="1"/>
  <c r="V31" i="1" s="1"/>
  <c r="V35" i="1" s="1"/>
  <c r="V39" i="1" s="1"/>
  <c r="V43" i="1" s="1"/>
  <c r="V47" i="1" s="1"/>
  <c r="V51" i="1" s="1"/>
  <c r="P22" i="1"/>
  <c r="P27" i="1" s="1"/>
  <c r="P31" i="1" s="1"/>
  <c r="P35" i="1" s="1"/>
  <c r="P39" i="1" s="1"/>
  <c r="P43" i="1" s="1"/>
  <c r="P47" i="1" s="1"/>
  <c r="P51" i="1" s="1"/>
  <c r="N22" i="1"/>
  <c r="N27" i="1" s="1"/>
  <c r="N31" i="1" s="1"/>
  <c r="N35" i="1" s="1"/>
  <c r="N39" i="1" s="1"/>
  <c r="N43" i="1" s="1"/>
  <c r="N47" i="1" s="1"/>
  <c r="N51" i="1" s="1"/>
  <c r="L22" i="1"/>
  <c r="L27" i="1" s="1"/>
  <c r="L31" i="1" s="1"/>
  <c r="L35" i="1" s="1"/>
  <c r="L39" i="1" s="1"/>
  <c r="L43" i="1" s="1"/>
  <c r="L47" i="1" s="1"/>
  <c r="L51" i="1" s="1"/>
  <c r="J22" i="1"/>
  <c r="J27" i="1" s="1"/>
  <c r="J31" i="1" s="1"/>
  <c r="J35" i="1" s="1"/>
  <c r="J39" i="1" s="1"/>
  <c r="J43" i="1" s="1"/>
  <c r="J47" i="1" s="1"/>
  <c r="J51" i="1" s="1"/>
  <c r="F22" i="1"/>
  <c r="F27" i="1" s="1"/>
  <c r="F31" i="1" s="1"/>
  <c r="F35" i="1" s="1"/>
  <c r="F39" i="1" s="1"/>
  <c r="F43" i="1" s="1"/>
  <c r="F47" i="1" s="1"/>
  <c r="F51" i="1" s="1"/>
  <c r="A22" i="1"/>
  <c r="C24" i="1"/>
  <c r="C25" i="1" s="1"/>
  <c r="A21" i="1"/>
  <c r="A20" i="1"/>
  <c r="A19" i="1"/>
  <c r="A18" i="1"/>
  <c r="V26" i="1"/>
  <c r="V30" i="1" s="1"/>
  <c r="V34" i="1" s="1"/>
  <c r="V38" i="1" s="1"/>
  <c r="V42" i="1" s="1"/>
  <c r="V46" i="1" s="1"/>
  <c r="V50" i="1" s="1"/>
  <c r="P26" i="1"/>
  <c r="P30" i="1" s="1"/>
  <c r="P34" i="1" s="1"/>
  <c r="P38" i="1" s="1"/>
  <c r="P42" i="1" s="1"/>
  <c r="P46" i="1" s="1"/>
  <c r="P50" i="1" s="1"/>
  <c r="N26" i="1"/>
  <c r="N30" i="1" s="1"/>
  <c r="N34" i="1" s="1"/>
  <c r="N38" i="1" s="1"/>
  <c r="N42" i="1" s="1"/>
  <c r="N46" i="1" s="1"/>
  <c r="N50" i="1" s="1"/>
  <c r="L26" i="1"/>
  <c r="L30" i="1" s="1"/>
  <c r="L34" i="1" s="1"/>
  <c r="L38" i="1" s="1"/>
  <c r="L42" i="1" s="1"/>
  <c r="L46" i="1" s="1"/>
  <c r="L50" i="1" s="1"/>
  <c r="J26" i="1"/>
  <c r="J30" i="1" s="1"/>
  <c r="J34" i="1" s="1"/>
  <c r="J38" i="1" s="1"/>
  <c r="J42" i="1" s="1"/>
  <c r="J46" i="1" s="1"/>
  <c r="J50" i="1" s="1"/>
  <c r="H26" i="1"/>
  <c r="H30" i="1" s="1"/>
  <c r="H34" i="1" s="1"/>
  <c r="H38" i="1" s="1"/>
  <c r="H42" i="1" s="1"/>
  <c r="H46" i="1" s="1"/>
  <c r="H50" i="1" s="1"/>
  <c r="F26" i="1"/>
  <c r="F30" i="1" s="1"/>
  <c r="F34" i="1" s="1"/>
  <c r="F38" i="1" s="1"/>
  <c r="F42" i="1" s="1"/>
  <c r="F46" i="1" s="1"/>
  <c r="F50" i="1" s="1"/>
  <c r="B32" i="1" l="1"/>
  <c r="B28" i="1"/>
  <c r="A27" i="1"/>
  <c r="C26" i="1"/>
  <c r="A28" i="1" l="1"/>
  <c r="B29" i="1"/>
  <c r="A32" i="1"/>
  <c r="B33" i="1"/>
  <c r="B37" i="1"/>
  <c r="C39" i="1"/>
  <c r="C40" i="1" s="1"/>
  <c r="A37" i="1" l="1"/>
  <c r="B42" i="1"/>
  <c r="B38" i="1"/>
  <c r="A33" i="1"/>
  <c r="B34" i="1"/>
  <c r="A29" i="1"/>
  <c r="B30" i="1"/>
  <c r="C46" i="1"/>
  <c r="A30" i="1" l="1"/>
  <c r="B31" i="1"/>
  <c r="A31" i="1" s="1"/>
  <c r="A34" i="1"/>
  <c r="B35" i="1"/>
  <c r="A38" i="1"/>
  <c r="B39" i="1"/>
  <c r="A42" i="1"/>
  <c r="B47" i="1"/>
  <c r="B43" i="1"/>
  <c r="A43" i="1" l="1"/>
  <c r="B44" i="1"/>
  <c r="A47" i="1"/>
  <c r="B48" i="1"/>
  <c r="A39" i="1"/>
  <c r="B40" i="1"/>
  <c r="B36" i="1"/>
  <c r="A36" i="1" s="1"/>
  <c r="A35" i="1"/>
  <c r="A40" i="1" l="1"/>
  <c r="B41" i="1"/>
  <c r="A41" i="1" s="1"/>
  <c r="B49" i="1"/>
  <c r="A48" i="1"/>
  <c r="B45" i="1"/>
  <c r="A44" i="1"/>
  <c r="B46" i="1" l="1"/>
  <c r="A46" i="1" s="1"/>
  <c r="A45" i="1"/>
  <c r="A49" i="1"/>
  <c r="B50" i="1"/>
  <c r="A50" i="1" l="1"/>
  <c r="B51" i="1"/>
  <c r="A51" i="1" s="1"/>
</calcChain>
</file>

<file path=xl/sharedStrings.xml><?xml version="1.0" encoding="utf-8"?>
<sst xmlns="http://schemas.openxmlformats.org/spreadsheetml/2006/main" count="65" uniqueCount="21">
  <si>
    <t>Time</t>
  </si>
  <si>
    <t>Samples</t>
  </si>
  <si>
    <t>hours</t>
  </si>
  <si>
    <t>min</t>
  </si>
  <si>
    <t>OD</t>
  </si>
  <si>
    <t>Volume</t>
  </si>
  <si>
    <t>C1</t>
  </si>
  <si>
    <t>C2</t>
  </si>
  <si>
    <t>C3</t>
  </si>
  <si>
    <t>A1</t>
  </si>
  <si>
    <t>A2</t>
  </si>
  <si>
    <t>A3</t>
  </si>
  <si>
    <t>B1</t>
  </si>
  <si>
    <t>B2</t>
  </si>
  <si>
    <t>B3</t>
  </si>
  <si>
    <t>D1</t>
  </si>
  <si>
    <t>D2</t>
  </si>
  <si>
    <t>D3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</si>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</sst>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20" fontId="0" fillId="0" borderId="0" xfId="0" applyNumberFormat="1"/>
    <xf numFmtId="0" fontId="0" fillId="2" borderId="0" xfId="0" applyFill="1"/>
    <xf numFmtId="20" fontId="0" fillId="2" borderId="0" xfId="0" applyNumberFormat="1" applyFill="1"/>
    <xf numFmtId="0" fontId="0" fillId="3" borderId="0" xfId="0" applyFill="1"/>
    <xf numFmtId="0" fontId="0" fillId="4" borderId="0" xfId="0" applyFill="1"/>
    <xf numFmtId="20" fontId="0" fillId="4" borderId="0" xfId="0" applyNumberFormat="1" applyFill="1"/>
    <xf numFmtId="0" fontId="0" fillId="5" borderId="0" xfId="0" applyFill="1"/>
    <xf numFmtId="0" fontId="0" fillId="6" borderId="0" xfId="0" applyFill="1"/>
    <xf numFmtId="20" fontId="0" fillId="5" borderId="0" xfId="0" applyNumberFormat="1" applyFill="1"/>
    <xf numFmtId="20" fontId="0" fillId="6" borderId="0" xfId="0" applyNumberFormat="1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6" borderId="0" xfId="0" applyFill="1" applyAlignment="1">
      <alignment horizontal="center"/>
    </xf>
    <xf numFmtId="20" fontId="0" fillId="3" borderId="0" xfId="0" applyNumberFormat="1" applyFill="1"/>
    <xf numFmtId="0" fontId="0" fillId="8" borderId="0" xfId="0" applyFill="1"/>
    <xf numFmtId="20" fontId="0" fillId="8" borderId="0" xfId="0" applyNumberFormat="1" applyFill="1"/>
    <xf numFmtId="0" fontId="0" fillId="9" borderId="0" xfId="0" applyFill="1"/>
    <xf numFmtId="20" fontId="0" fillId="9" borderId="0" xfId="0" applyNumberFormat="1" applyFill="1"/>
    <xf numFmtId="0" fontId="0" fillId="10" borderId="0" xfId="0" applyFill="1"/>
    <xf numFmtId="20" fontId="0" fillId="10" borderId="0" xfId="0" applyNumberFormat="1" applyFill="1"/>
    <xf numFmtId="0" fontId="0" fillId="11" borderId="0" xfId="0" applyFill="1"/>
    <xf numFmtId="20" fontId="0" fillId="11" borderId="0" xfId="0" applyNumberFormat="1" applyFill="1"/>
    <xf numFmtId="0" fontId="0" fillId="12" borderId="0" xfId="0" applyFill="1"/>
    <xf numFmtId="20" fontId="0" fillId="12" borderId="0" xfId="0" applyNumberFormat="1" applyFill="1"/>
    <xf numFmtId="0" fontId="1" fillId="13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380-A57E-44E2-8EEE-1ADF6E9783DD}">
  <dimension ref="A1:AH51"/>
  <sheetViews>
    <sheetView tabSelected="1" zoomScale="80" zoomScaleNormal="80" workbookViewId="0">
      <selection activeCell="B14" sqref="B14"/>
    </sheetView>
  </sheetViews>
  <sheetFormatPr defaultRowHeight="14.4" x14ac:dyDescent="0.3"/>
  <sheetData>
    <row r="1" spans="1:34" x14ac:dyDescent="0.3">
      <c r="C1" s="33" t="s">
        <v>0</v>
      </c>
      <c r="D1" s="33"/>
      <c r="F1" s="33" t="s">
        <v>1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34" x14ac:dyDescent="0.3">
      <c r="E2" s="15" t="s">
        <v>6</v>
      </c>
      <c r="F2" s="15" t="s">
        <v>6</v>
      </c>
      <c r="G2" s="15" t="s">
        <v>7</v>
      </c>
      <c r="H2" s="15" t="s">
        <v>7</v>
      </c>
      <c r="I2" s="14" t="s">
        <v>8</v>
      </c>
      <c r="J2" s="14" t="s">
        <v>8</v>
      </c>
      <c r="K2" s="11" t="s">
        <v>9</v>
      </c>
      <c r="L2" s="11" t="s">
        <v>9</v>
      </c>
      <c r="M2" s="11" t="s">
        <v>10</v>
      </c>
      <c r="N2" s="11" t="s">
        <v>10</v>
      </c>
      <c r="O2" s="11" t="s">
        <v>11</v>
      </c>
      <c r="P2" s="11" t="s">
        <v>11</v>
      </c>
      <c r="Q2" s="12" t="s">
        <v>12</v>
      </c>
      <c r="R2" s="12" t="s">
        <v>12</v>
      </c>
      <c r="S2" s="12" t="s">
        <v>13</v>
      </c>
      <c r="T2" s="12" t="s">
        <v>13</v>
      </c>
      <c r="U2" s="12" t="s">
        <v>14</v>
      </c>
      <c r="V2" s="12" t="s">
        <v>14</v>
      </c>
      <c r="W2" s="13" t="s">
        <v>15</v>
      </c>
      <c r="X2" s="13" t="s">
        <v>15</v>
      </c>
      <c r="Y2" s="13" t="s">
        <v>16</v>
      </c>
      <c r="Z2" s="13" t="s">
        <v>16</v>
      </c>
      <c r="AA2" s="13" t="s">
        <v>17</v>
      </c>
      <c r="AB2" s="13" t="s">
        <v>17</v>
      </c>
      <c r="AC2" s="16" t="s">
        <v>18</v>
      </c>
      <c r="AD2" s="16" t="s">
        <v>18</v>
      </c>
      <c r="AE2" s="16" t="s">
        <v>19</v>
      </c>
      <c r="AF2" s="16" t="s">
        <v>19</v>
      </c>
      <c r="AG2" s="16" t="s">
        <v>20</v>
      </c>
      <c r="AH2" s="16" t="s">
        <v>20</v>
      </c>
    </row>
    <row r="3" spans="1:34" x14ac:dyDescent="0.3">
      <c r="A3" t="s">
        <v>2</v>
      </c>
      <c r="B3" t="s">
        <v>3</v>
      </c>
      <c r="D3" s="1"/>
      <c r="E3" t="s">
        <v>4</v>
      </c>
      <c r="F3" t="s">
        <v>5</v>
      </c>
      <c r="G3" t="s">
        <v>4</v>
      </c>
      <c r="H3" t="s">
        <v>5</v>
      </c>
      <c r="I3" t="s">
        <v>4</v>
      </c>
      <c r="J3" t="s">
        <v>5</v>
      </c>
      <c r="K3" t="s">
        <v>4</v>
      </c>
      <c r="L3" t="s">
        <v>5</v>
      </c>
      <c r="M3" t="s">
        <v>4</v>
      </c>
      <c r="N3" t="s">
        <v>5</v>
      </c>
      <c r="O3" t="s">
        <v>4</v>
      </c>
      <c r="P3" t="s">
        <v>5</v>
      </c>
      <c r="Q3" t="s">
        <v>4</v>
      </c>
      <c r="R3" t="s">
        <v>5</v>
      </c>
      <c r="S3" t="s">
        <v>4</v>
      </c>
      <c r="T3" t="s">
        <v>5</v>
      </c>
      <c r="U3" t="s">
        <v>4</v>
      </c>
      <c r="V3" t="s">
        <v>5</v>
      </c>
      <c r="W3" t="s">
        <v>4</v>
      </c>
      <c r="X3" t="s">
        <v>5</v>
      </c>
      <c r="Y3" t="s">
        <v>4</v>
      </c>
      <c r="Z3" t="s">
        <v>5</v>
      </c>
      <c r="AA3" t="s">
        <v>4</v>
      </c>
      <c r="AB3" t="s">
        <v>5</v>
      </c>
      <c r="AC3" t="s">
        <v>4</v>
      </c>
      <c r="AD3" t="s">
        <v>5</v>
      </c>
      <c r="AE3" t="s">
        <v>4</v>
      </c>
      <c r="AF3" t="s">
        <v>5</v>
      </c>
      <c r="AG3" t="s">
        <v>4</v>
      </c>
      <c r="AH3" t="s">
        <v>5</v>
      </c>
    </row>
    <row r="4" spans="1:34" x14ac:dyDescent="0.3">
      <c r="A4">
        <v>0</v>
      </c>
      <c r="B4">
        <v>0</v>
      </c>
      <c r="C4">
        <v>1550</v>
      </c>
      <c r="D4" s="1">
        <v>0.65972222222222221</v>
      </c>
      <c r="E4">
        <v>0.15</v>
      </c>
      <c r="F4">
        <v>125</v>
      </c>
      <c r="G4">
        <v>0.15</v>
      </c>
      <c r="H4">
        <v>125</v>
      </c>
      <c r="I4">
        <v>0.15</v>
      </c>
      <c r="J4">
        <v>125</v>
      </c>
      <c r="K4">
        <v>0.15</v>
      </c>
      <c r="L4">
        <v>125</v>
      </c>
      <c r="M4">
        <v>0.15</v>
      </c>
      <c r="N4">
        <v>125</v>
      </c>
      <c r="O4">
        <v>0.15</v>
      </c>
      <c r="P4">
        <v>125</v>
      </c>
      <c r="Q4">
        <v>0.15</v>
      </c>
      <c r="R4">
        <v>125</v>
      </c>
      <c r="S4">
        <v>0.15</v>
      </c>
      <c r="T4">
        <v>125</v>
      </c>
      <c r="U4">
        <v>0.15</v>
      </c>
      <c r="V4">
        <v>125</v>
      </c>
      <c r="W4">
        <v>0.15</v>
      </c>
      <c r="X4">
        <v>125</v>
      </c>
      <c r="Y4">
        <v>0.15</v>
      </c>
      <c r="Z4">
        <v>125</v>
      </c>
      <c r="AA4">
        <v>0.15</v>
      </c>
      <c r="AB4">
        <v>125</v>
      </c>
      <c r="AC4">
        <v>0.15</v>
      </c>
      <c r="AD4">
        <v>125</v>
      </c>
      <c r="AE4">
        <v>0.15</v>
      </c>
      <c r="AF4">
        <v>125</v>
      </c>
      <c r="AG4">
        <v>0.15</v>
      </c>
      <c r="AH4">
        <v>125</v>
      </c>
    </row>
    <row r="5" spans="1:34" x14ac:dyDescent="0.3">
      <c r="A5">
        <f>B5/60</f>
        <v>2</v>
      </c>
      <c r="B5">
        <v>120</v>
      </c>
      <c r="C5">
        <v>1850</v>
      </c>
      <c r="D5" s="1">
        <v>0.70138888888888884</v>
      </c>
      <c r="E5">
        <v>0.223</v>
      </c>
      <c r="F5">
        <f>F4-1</f>
        <v>124</v>
      </c>
      <c r="G5">
        <v>0.22700000000000001</v>
      </c>
      <c r="H5">
        <f>H4-1</f>
        <v>124</v>
      </c>
      <c r="I5">
        <v>0.22700000000000001</v>
      </c>
      <c r="J5">
        <f>J4-1</f>
        <v>124</v>
      </c>
      <c r="K5">
        <v>0.23300000000000001</v>
      </c>
      <c r="L5">
        <f>L4-1</f>
        <v>124</v>
      </c>
      <c r="M5">
        <v>0.22600000000000001</v>
      </c>
      <c r="N5">
        <f>N4-1</f>
        <v>124</v>
      </c>
      <c r="O5">
        <v>0.224</v>
      </c>
      <c r="P5">
        <f>P4-1</f>
        <v>124</v>
      </c>
      <c r="Q5">
        <v>0.192</v>
      </c>
      <c r="R5">
        <f>R4-1</f>
        <v>124</v>
      </c>
      <c r="S5">
        <v>0.22600000000000001</v>
      </c>
      <c r="T5">
        <f>T4-1</f>
        <v>124</v>
      </c>
      <c r="U5">
        <v>0.216</v>
      </c>
      <c r="V5">
        <f>V4-1</f>
        <v>124</v>
      </c>
      <c r="W5">
        <v>0.223</v>
      </c>
      <c r="X5">
        <f>X4-1</f>
        <v>124</v>
      </c>
      <c r="Y5">
        <v>0.21299999999999999</v>
      </c>
      <c r="Z5">
        <f>Z4-1</f>
        <v>124</v>
      </c>
      <c r="AA5">
        <v>0.21</v>
      </c>
      <c r="AB5">
        <f>AB4-1</f>
        <v>124</v>
      </c>
      <c r="AC5">
        <v>0.20300000000000001</v>
      </c>
      <c r="AD5">
        <f>AD4-1</f>
        <v>124</v>
      </c>
      <c r="AE5">
        <v>0.21199999999999999</v>
      </c>
      <c r="AF5">
        <f>AF4-1</f>
        <v>124</v>
      </c>
      <c r="AG5">
        <v>0.221</v>
      </c>
      <c r="AH5">
        <f>AH4-1</f>
        <v>124</v>
      </c>
    </row>
    <row r="6" spans="1:34" x14ac:dyDescent="0.3">
      <c r="A6">
        <f>B6/60</f>
        <v>3</v>
      </c>
      <c r="B6">
        <v>180</v>
      </c>
      <c r="C6">
        <v>1850</v>
      </c>
      <c r="D6" s="1">
        <v>0.78472222222222221</v>
      </c>
      <c r="E6">
        <v>0.30099999999999999</v>
      </c>
      <c r="F6">
        <f>F5-1</f>
        <v>123</v>
      </c>
      <c r="G6">
        <v>0.30199999999999999</v>
      </c>
      <c r="H6">
        <f>H5-1</f>
        <v>123</v>
      </c>
      <c r="I6">
        <v>0.316</v>
      </c>
      <c r="J6">
        <f>J5-1</f>
        <v>123</v>
      </c>
      <c r="K6">
        <v>0.30399999999999999</v>
      </c>
      <c r="L6">
        <f>L5-1</f>
        <v>123</v>
      </c>
      <c r="M6">
        <v>0.30399999999999999</v>
      </c>
      <c r="N6">
        <f>N5-1</f>
        <v>123</v>
      </c>
      <c r="O6">
        <v>0.309</v>
      </c>
      <c r="P6">
        <f>P5-1</f>
        <v>123</v>
      </c>
      <c r="Q6">
        <v>0.25600000000000001</v>
      </c>
      <c r="R6">
        <f>R5-1</f>
        <v>123</v>
      </c>
      <c r="S6">
        <v>0.29099999999999998</v>
      </c>
      <c r="T6">
        <f>T5-1</f>
        <v>123</v>
      </c>
      <c r="U6">
        <v>0.28899999999999998</v>
      </c>
      <c r="V6">
        <f>V5-1</f>
        <v>123</v>
      </c>
      <c r="W6">
        <v>0.28100000000000003</v>
      </c>
      <c r="X6">
        <f>X5-1</f>
        <v>123</v>
      </c>
      <c r="Y6">
        <v>0.28299999999999997</v>
      </c>
      <c r="Z6">
        <f>Z5-1</f>
        <v>123</v>
      </c>
      <c r="AA6">
        <v>0.28100000000000003</v>
      </c>
      <c r="AB6">
        <f>AB5-1</f>
        <v>123</v>
      </c>
      <c r="AC6">
        <v>0.26900000000000002</v>
      </c>
      <c r="AD6">
        <f>AD5-1</f>
        <v>123</v>
      </c>
      <c r="AE6">
        <v>0.28699999999999998</v>
      </c>
      <c r="AF6">
        <f>AF5-1</f>
        <v>123</v>
      </c>
      <c r="AG6">
        <v>0.28999999999999998</v>
      </c>
      <c r="AH6">
        <f>AH5-1</f>
        <v>123</v>
      </c>
    </row>
    <row r="7" spans="1:34" x14ac:dyDescent="0.3">
      <c r="A7">
        <f>B7/60</f>
        <v>5</v>
      </c>
      <c r="B7">
        <v>300</v>
      </c>
      <c r="C7">
        <v>2050</v>
      </c>
      <c r="D7" s="1">
        <v>0.86805555555555558</v>
      </c>
      <c r="E7">
        <v>0.42799999999999999</v>
      </c>
      <c r="F7">
        <f>F6-1</f>
        <v>122</v>
      </c>
      <c r="G7">
        <v>0.42299999999999999</v>
      </c>
      <c r="H7">
        <f>H6-1</f>
        <v>122</v>
      </c>
      <c r="I7">
        <v>0.42599999999999999</v>
      </c>
      <c r="J7">
        <f>J6-1</f>
        <v>122</v>
      </c>
      <c r="K7">
        <v>0.41499999999999998</v>
      </c>
      <c r="L7">
        <f>L6-1</f>
        <v>122</v>
      </c>
      <c r="M7">
        <v>0.41799999999999998</v>
      </c>
      <c r="N7">
        <f>N6-1</f>
        <v>122</v>
      </c>
      <c r="O7">
        <v>0.42199999999999999</v>
      </c>
      <c r="P7">
        <f>P6-1</f>
        <v>122</v>
      </c>
      <c r="Q7">
        <v>0.36499999999999999</v>
      </c>
      <c r="R7">
        <f>R6-1</f>
        <v>122</v>
      </c>
      <c r="S7">
        <v>0.42199999999999999</v>
      </c>
      <c r="T7">
        <f>T6-1</f>
        <v>122</v>
      </c>
      <c r="U7">
        <v>0.42599999999999999</v>
      </c>
      <c r="V7">
        <f>V6-1</f>
        <v>122</v>
      </c>
      <c r="W7">
        <v>0.41799999999999998</v>
      </c>
      <c r="X7">
        <f>X6-1</f>
        <v>122</v>
      </c>
      <c r="Y7">
        <v>0.41599999999999998</v>
      </c>
      <c r="Z7">
        <f>Z6-1</f>
        <v>122</v>
      </c>
      <c r="AA7">
        <v>0.41899999999999998</v>
      </c>
      <c r="AB7">
        <f>AB6-1</f>
        <v>122</v>
      </c>
      <c r="AC7">
        <v>0.40200000000000002</v>
      </c>
      <c r="AD7">
        <f>AD6-1</f>
        <v>122</v>
      </c>
      <c r="AE7">
        <v>0.42599999999999999</v>
      </c>
      <c r="AF7">
        <f>AF6-1</f>
        <v>122</v>
      </c>
      <c r="AG7">
        <v>0.41699999999999998</v>
      </c>
      <c r="AH7">
        <f>AH6-1</f>
        <v>122</v>
      </c>
    </row>
    <row r="8" spans="1:34" x14ac:dyDescent="0.3">
      <c r="D8" s="1"/>
    </row>
    <row r="9" spans="1:34" x14ac:dyDescent="0.3">
      <c r="A9">
        <f>B9/60</f>
        <v>6</v>
      </c>
      <c r="B9">
        <v>360</v>
      </c>
      <c r="C9" s="2">
        <v>2150</v>
      </c>
      <c r="D9" s="3">
        <v>0.90972222222222221</v>
      </c>
      <c r="E9" s="28">
        <v>0.50900000000000001</v>
      </c>
      <c r="F9" s="2"/>
      <c r="G9" s="28">
        <v>0.51800000000000002</v>
      </c>
      <c r="H9" s="2"/>
      <c r="I9" s="29">
        <v>0.50600000000000001</v>
      </c>
      <c r="J9" s="2"/>
    </row>
    <row r="10" spans="1:34" x14ac:dyDescent="0.3">
      <c r="A10">
        <f t="shared" ref="A10:A13" si="0">B10/60</f>
        <v>6.166666666666667</v>
      </c>
      <c r="B10">
        <v>370</v>
      </c>
      <c r="C10" s="4">
        <v>2200</v>
      </c>
      <c r="D10" s="17">
        <v>0.91666666666666663</v>
      </c>
      <c r="K10" s="30">
        <v>0.501</v>
      </c>
      <c r="L10" s="4"/>
      <c r="M10" s="30">
        <v>0.49399999999999999</v>
      </c>
      <c r="N10" s="4"/>
      <c r="O10" s="30">
        <v>0.501</v>
      </c>
      <c r="P10" s="4"/>
    </row>
    <row r="11" spans="1:34" x14ac:dyDescent="0.3">
      <c r="A11">
        <f t="shared" si="0"/>
        <v>6.333333333333333</v>
      </c>
      <c r="B11">
        <v>380</v>
      </c>
      <c r="C11" s="5">
        <v>2210</v>
      </c>
      <c r="D11" s="6">
        <v>0.92361111111111116</v>
      </c>
      <c r="Q11" s="31">
        <v>0.437</v>
      </c>
      <c r="R11" s="32"/>
      <c r="S11" s="31">
        <v>0.48099999999999998</v>
      </c>
      <c r="T11" s="32"/>
      <c r="U11" s="31">
        <v>0.496</v>
      </c>
      <c r="V11" s="32"/>
    </row>
    <row r="12" spans="1:34" x14ac:dyDescent="0.3">
      <c r="A12">
        <f t="shared" si="0"/>
        <v>6.5</v>
      </c>
      <c r="B12">
        <v>390</v>
      </c>
      <c r="C12" s="7">
        <v>2220</v>
      </c>
      <c r="D12" s="9">
        <v>0.93055555555555558</v>
      </c>
      <c r="W12" s="7">
        <v>0.48</v>
      </c>
      <c r="X12" s="24"/>
      <c r="Y12" s="7">
        <v>0.49099999999999999</v>
      </c>
      <c r="Z12" s="24"/>
      <c r="AA12" s="7">
        <v>0.48799999999999999</v>
      </c>
      <c r="AB12" s="24"/>
    </row>
    <row r="13" spans="1:34" x14ac:dyDescent="0.3">
      <c r="A13">
        <f t="shared" si="0"/>
        <v>6.666666666666667</v>
      </c>
      <c r="B13">
        <v>400</v>
      </c>
      <c r="C13" s="8">
        <v>2230</v>
      </c>
      <c r="D13" s="10">
        <v>0.9375</v>
      </c>
      <c r="AC13" s="8">
        <v>0.47899999999999998</v>
      </c>
      <c r="AD13" s="26"/>
      <c r="AE13" s="8">
        <v>0.48699999999999999</v>
      </c>
      <c r="AF13" s="26"/>
      <c r="AG13" s="8">
        <v>0.498</v>
      </c>
      <c r="AH13" s="26"/>
    </row>
    <row r="14" spans="1:34" x14ac:dyDescent="0.3">
      <c r="D14" s="1"/>
    </row>
    <row r="15" spans="1:34" x14ac:dyDescent="0.3">
      <c r="D15" s="1"/>
    </row>
    <row r="16" spans="1:34" x14ac:dyDescent="0.3">
      <c r="D16" s="1"/>
    </row>
    <row r="17" spans="1:34" x14ac:dyDescent="0.3">
      <c r="A17" s="18">
        <f>B17/60</f>
        <v>10.416666666666666</v>
      </c>
      <c r="B17" s="18">
        <v>625</v>
      </c>
      <c r="C17" s="18">
        <v>2142</v>
      </c>
      <c r="D17" s="19">
        <v>0.95138888888888884</v>
      </c>
      <c r="E17" s="15">
        <v>0.56699999999999995</v>
      </c>
      <c r="F17" s="18">
        <v>121</v>
      </c>
      <c r="G17" s="15">
        <v>0.57799999999999996</v>
      </c>
      <c r="H17" s="18">
        <v>121</v>
      </c>
      <c r="I17" s="15">
        <v>0.58399999999999996</v>
      </c>
      <c r="J17" s="18">
        <v>121</v>
      </c>
    </row>
    <row r="18" spans="1:34" x14ac:dyDescent="0.3">
      <c r="A18" s="20">
        <f>B18/60</f>
        <v>10.416666666666666</v>
      </c>
      <c r="B18" s="20">
        <v>625</v>
      </c>
      <c r="C18" s="20">
        <v>1425</v>
      </c>
      <c r="D18" s="21">
        <v>0.95833333333333337</v>
      </c>
      <c r="E18" s="20"/>
      <c r="F18" s="20">
        <v>116</v>
      </c>
      <c r="G18" s="20"/>
      <c r="H18" s="20">
        <v>116</v>
      </c>
      <c r="I18" s="20"/>
      <c r="J18" s="20">
        <v>116</v>
      </c>
      <c r="K18" s="4">
        <v>0.55000000000000004</v>
      </c>
      <c r="L18" s="20">
        <v>121</v>
      </c>
      <c r="M18" s="4">
        <v>0.55400000000000005</v>
      </c>
      <c r="N18" s="20">
        <v>121</v>
      </c>
      <c r="O18" s="4">
        <v>0.56599999999999995</v>
      </c>
      <c r="P18" s="20">
        <v>121</v>
      </c>
    </row>
    <row r="19" spans="1:34" x14ac:dyDescent="0.3">
      <c r="A19" s="22">
        <f t="shared" ref="A19:A51" si="1">B19/60</f>
        <v>10.5</v>
      </c>
      <c r="B19" s="22">
        <v>630</v>
      </c>
      <c r="C19" s="22">
        <v>1430</v>
      </c>
      <c r="D19" s="23">
        <v>0.96527777777777779</v>
      </c>
      <c r="E19" s="22"/>
      <c r="F19" s="22">
        <v>116</v>
      </c>
      <c r="G19" s="22"/>
      <c r="H19" s="22">
        <v>116</v>
      </c>
      <c r="I19" s="22"/>
      <c r="J19" s="22">
        <v>116</v>
      </c>
      <c r="K19" s="22"/>
      <c r="L19" s="22">
        <v>116</v>
      </c>
      <c r="M19" s="22"/>
      <c r="N19" s="22">
        <v>116</v>
      </c>
      <c r="O19" s="22"/>
      <c r="P19" s="22">
        <v>116</v>
      </c>
      <c r="Q19" s="5">
        <v>0.47499999999999998</v>
      </c>
      <c r="R19" s="22">
        <v>121</v>
      </c>
      <c r="S19" s="5">
        <v>0.54800000000000004</v>
      </c>
      <c r="T19" s="22">
        <v>121</v>
      </c>
      <c r="U19" s="5">
        <v>0.55900000000000005</v>
      </c>
      <c r="V19" s="22">
        <v>121</v>
      </c>
    </row>
    <row r="20" spans="1:34" x14ac:dyDescent="0.3">
      <c r="A20" s="24">
        <f t="shared" si="1"/>
        <v>10.583333333333334</v>
      </c>
      <c r="B20" s="24">
        <v>635</v>
      </c>
      <c r="C20" s="24">
        <v>1435</v>
      </c>
      <c r="D20" s="25">
        <v>0.97222222222222221</v>
      </c>
      <c r="E20" s="24"/>
      <c r="F20" s="24">
        <v>116</v>
      </c>
      <c r="G20" s="24"/>
      <c r="H20" s="24">
        <v>116</v>
      </c>
      <c r="I20" s="24"/>
      <c r="J20" s="24">
        <v>116</v>
      </c>
      <c r="K20" s="24"/>
      <c r="L20" s="24">
        <v>116</v>
      </c>
      <c r="M20" s="24"/>
      <c r="N20" s="24">
        <v>116</v>
      </c>
      <c r="O20" s="24"/>
      <c r="P20" s="24">
        <v>116</v>
      </c>
      <c r="Q20" s="24"/>
      <c r="R20" s="24">
        <v>116</v>
      </c>
      <c r="S20" s="24"/>
      <c r="T20" s="24">
        <v>98</v>
      </c>
      <c r="U20" s="24"/>
      <c r="V20" s="24">
        <v>116</v>
      </c>
      <c r="W20" s="7">
        <v>0.54500000000000004</v>
      </c>
      <c r="X20" s="24">
        <v>121</v>
      </c>
      <c r="Y20" s="7">
        <v>0.54100000000000004</v>
      </c>
      <c r="Z20" s="24"/>
      <c r="AA20" s="7">
        <v>0.55000000000000004</v>
      </c>
      <c r="AB20" s="24">
        <v>120</v>
      </c>
    </row>
    <row r="21" spans="1:34" x14ac:dyDescent="0.3">
      <c r="A21" s="26">
        <f t="shared" si="1"/>
        <v>10.666666666666666</v>
      </c>
      <c r="B21" s="26">
        <v>640</v>
      </c>
      <c r="C21" s="26">
        <v>1440</v>
      </c>
      <c r="D21" s="27">
        <v>0.97916666666666663</v>
      </c>
      <c r="E21" s="26"/>
      <c r="F21" s="26">
        <v>116</v>
      </c>
      <c r="G21" s="26"/>
      <c r="H21" s="26">
        <v>116</v>
      </c>
      <c r="I21" s="26"/>
      <c r="J21" s="26">
        <v>116</v>
      </c>
      <c r="K21" s="26"/>
      <c r="L21" s="26">
        <v>116</v>
      </c>
      <c r="M21" s="26"/>
      <c r="N21" s="26">
        <v>116</v>
      </c>
      <c r="O21" s="26"/>
      <c r="P21" s="26">
        <v>116</v>
      </c>
      <c r="Q21" s="26"/>
      <c r="R21" s="26">
        <v>116</v>
      </c>
      <c r="S21" s="26"/>
      <c r="T21" s="26">
        <v>116</v>
      </c>
      <c r="U21" s="26"/>
      <c r="V21" s="26">
        <v>116</v>
      </c>
      <c r="W21" s="26"/>
      <c r="X21" s="26"/>
      <c r="Y21" s="26"/>
      <c r="Z21" s="26"/>
      <c r="AA21" s="26"/>
      <c r="AB21" s="26"/>
      <c r="AC21" s="8">
        <v>0.55200000000000005</v>
      </c>
      <c r="AD21" s="26">
        <v>121</v>
      </c>
      <c r="AE21" s="8">
        <v>0.55900000000000005</v>
      </c>
      <c r="AF21" s="26">
        <v>121</v>
      </c>
      <c r="AG21" s="8">
        <v>0.56799999999999995</v>
      </c>
      <c r="AH21" s="26">
        <v>121</v>
      </c>
    </row>
    <row r="22" spans="1:34" x14ac:dyDescent="0.3">
      <c r="A22" s="18">
        <f t="shared" si="1"/>
        <v>11.416666666666666</v>
      </c>
      <c r="B22" s="18">
        <f>B17+60</f>
        <v>685</v>
      </c>
      <c r="C22" s="18">
        <v>1525</v>
      </c>
      <c r="D22" s="19">
        <v>0.99305555555555558</v>
      </c>
      <c r="E22" s="28">
        <v>0.67100000000000004</v>
      </c>
      <c r="F22" s="18">
        <f t="shared" ref="F22" si="2">F18-1</f>
        <v>115</v>
      </c>
      <c r="G22" s="29">
        <v>0.67100000000000004</v>
      </c>
      <c r="H22" s="18">
        <v>97</v>
      </c>
      <c r="I22" s="29">
        <v>0.67</v>
      </c>
      <c r="J22" s="18">
        <f t="shared" ref="J22" si="3">J18-1</f>
        <v>115</v>
      </c>
      <c r="L22">
        <f t="shared" ref="L22" si="4">L18-1</f>
        <v>120</v>
      </c>
      <c r="N22">
        <f t="shared" ref="N22" si="5">N18-1</f>
        <v>120</v>
      </c>
      <c r="P22">
        <f t="shared" ref="P22" si="6">P18-1</f>
        <v>120</v>
      </c>
      <c r="R22">
        <v>115</v>
      </c>
      <c r="T22">
        <v>115</v>
      </c>
      <c r="V22">
        <v>115</v>
      </c>
    </row>
    <row r="23" spans="1:34" x14ac:dyDescent="0.3">
      <c r="A23" s="20"/>
      <c r="B23" s="20">
        <f>B18+60</f>
        <v>685</v>
      </c>
      <c r="C23" s="20">
        <v>1525</v>
      </c>
      <c r="D23" s="21">
        <v>1</v>
      </c>
      <c r="E23" s="20"/>
      <c r="F23" s="20"/>
      <c r="G23" s="20"/>
      <c r="H23" s="20"/>
      <c r="I23" s="20"/>
      <c r="J23" s="20"/>
      <c r="K23" s="4">
        <v>0.59899999999999998</v>
      </c>
      <c r="L23" s="20"/>
      <c r="M23" s="4">
        <v>0.621</v>
      </c>
      <c r="N23" s="20"/>
      <c r="O23" s="4">
        <v>0.61499999999999999</v>
      </c>
      <c r="P23" s="20"/>
    </row>
    <row r="24" spans="1:34" x14ac:dyDescent="0.3">
      <c r="A24" s="22">
        <f t="shared" si="1"/>
        <v>5.166666666666667</v>
      </c>
      <c r="B24" s="22">
        <v>310</v>
      </c>
      <c r="C24" s="22">
        <f>C22+5</f>
        <v>1530</v>
      </c>
      <c r="D24" s="23">
        <v>6.9444444444444441E-3</v>
      </c>
      <c r="E24" s="22"/>
      <c r="F24" s="22">
        <f>F19-1</f>
        <v>115</v>
      </c>
      <c r="G24" s="22"/>
      <c r="H24" s="22">
        <v>97</v>
      </c>
      <c r="I24" s="22"/>
      <c r="J24" s="22">
        <f>J19-1</f>
        <v>115</v>
      </c>
      <c r="K24" s="22"/>
      <c r="L24" s="22">
        <f>L19-1</f>
        <v>115</v>
      </c>
      <c r="M24" s="22"/>
      <c r="N24" s="22">
        <f>N19-1</f>
        <v>115</v>
      </c>
      <c r="O24" s="22"/>
      <c r="P24" s="22">
        <f>P19-1</f>
        <v>115</v>
      </c>
      <c r="Q24" s="5">
        <v>0.51600000000000001</v>
      </c>
      <c r="R24" s="22">
        <f>R19-1</f>
        <v>120</v>
      </c>
      <c r="S24" s="5">
        <v>0.59</v>
      </c>
      <c r="T24" s="22">
        <f>T19-1</f>
        <v>120</v>
      </c>
      <c r="U24" s="5">
        <v>0.59899999999999998</v>
      </c>
      <c r="V24" s="22">
        <f>V19-1</f>
        <v>120</v>
      </c>
    </row>
    <row r="25" spans="1:34" x14ac:dyDescent="0.3">
      <c r="A25" s="24">
        <f t="shared" si="1"/>
        <v>11.583333333333334</v>
      </c>
      <c r="B25" s="24">
        <f>B20+60</f>
        <v>695</v>
      </c>
      <c r="C25" s="24">
        <f t="shared" ref="C25" si="7">C24+5</f>
        <v>1535</v>
      </c>
      <c r="D25" s="25">
        <v>1.3888888888888888E-2</v>
      </c>
      <c r="E25" s="24"/>
      <c r="F25" s="24">
        <f>F20-1</f>
        <v>115</v>
      </c>
      <c r="G25" s="24"/>
      <c r="H25" s="24">
        <v>97</v>
      </c>
      <c r="I25" s="24"/>
      <c r="J25" s="24">
        <f>J20-1</f>
        <v>115</v>
      </c>
      <c r="K25" s="24"/>
      <c r="L25" s="24">
        <f>L20-1</f>
        <v>115</v>
      </c>
      <c r="M25" s="24"/>
      <c r="N25" s="24">
        <f>N20-1</f>
        <v>115</v>
      </c>
      <c r="O25" s="24"/>
      <c r="P25" s="24">
        <f>P20-1</f>
        <v>115</v>
      </c>
      <c r="Q25" s="24"/>
      <c r="R25" s="24">
        <f>R20-1</f>
        <v>115</v>
      </c>
      <c r="S25" s="24"/>
      <c r="T25" s="24">
        <f>T20-1</f>
        <v>97</v>
      </c>
      <c r="U25" s="24"/>
      <c r="V25" s="24">
        <f>V20-1</f>
        <v>115</v>
      </c>
      <c r="W25" s="7">
        <v>0.59</v>
      </c>
      <c r="X25" s="24">
        <v>120</v>
      </c>
      <c r="Y25" s="7">
        <v>0.58799999999999997</v>
      </c>
      <c r="Z25" s="24"/>
      <c r="AA25" s="7">
        <v>0.59</v>
      </c>
      <c r="AB25" s="24"/>
    </row>
    <row r="26" spans="1:34" x14ac:dyDescent="0.3">
      <c r="A26" s="26">
        <f t="shared" si="1"/>
        <v>11.666666666666666</v>
      </c>
      <c r="B26" s="26">
        <f>B21+60</f>
        <v>700</v>
      </c>
      <c r="C26" s="26">
        <f>C21+100</f>
        <v>1540</v>
      </c>
      <c r="D26" s="27">
        <v>2.0833333333333332E-2</v>
      </c>
      <c r="E26" s="26"/>
      <c r="F26" s="26">
        <f>F21-1</f>
        <v>115</v>
      </c>
      <c r="G26" s="26"/>
      <c r="H26" s="26">
        <f>H21-1</f>
        <v>115</v>
      </c>
      <c r="I26" s="26"/>
      <c r="J26" s="26">
        <f>J21-1</f>
        <v>115</v>
      </c>
      <c r="K26" s="26"/>
      <c r="L26" s="26">
        <f>L21-1</f>
        <v>115</v>
      </c>
      <c r="M26" s="26"/>
      <c r="N26" s="26">
        <f>N21-1</f>
        <v>115</v>
      </c>
      <c r="O26" s="26"/>
      <c r="P26" s="26">
        <f>P21-1</f>
        <v>115</v>
      </c>
      <c r="Q26" s="26"/>
      <c r="R26" s="26">
        <f>R21-1</f>
        <v>115</v>
      </c>
      <c r="S26" s="26"/>
      <c r="T26" s="26">
        <f>T21-1</f>
        <v>115</v>
      </c>
      <c r="U26" s="26"/>
      <c r="V26" s="26">
        <f>V21-1</f>
        <v>115</v>
      </c>
      <c r="W26" s="26"/>
      <c r="X26" s="26"/>
      <c r="Y26" s="26"/>
      <c r="Z26" s="26"/>
      <c r="AA26" s="26"/>
      <c r="AB26" s="26"/>
      <c r="AC26" s="8">
        <v>0.629</v>
      </c>
      <c r="AD26" s="26">
        <v>120</v>
      </c>
      <c r="AE26" s="8">
        <v>0.64700000000000002</v>
      </c>
      <c r="AF26" s="26">
        <v>120</v>
      </c>
      <c r="AG26" s="8">
        <v>0.65200000000000002</v>
      </c>
      <c r="AH26">
        <v>120</v>
      </c>
    </row>
    <row r="27" spans="1:34" x14ac:dyDescent="0.3">
      <c r="A27" s="18">
        <f t="shared" si="1"/>
        <v>12.416666666666666</v>
      </c>
      <c r="B27" s="18">
        <f>B22+60</f>
        <v>745</v>
      </c>
      <c r="C27" s="18">
        <v>1625</v>
      </c>
      <c r="D27" s="19">
        <v>3.4722222222222224E-2</v>
      </c>
      <c r="E27" s="29">
        <v>0.754</v>
      </c>
      <c r="F27" s="18">
        <f>F22-1</f>
        <v>114</v>
      </c>
      <c r="G27" s="29">
        <v>0.748</v>
      </c>
      <c r="H27" s="18">
        <f>H22-1</f>
        <v>96</v>
      </c>
      <c r="I27" s="29">
        <v>0.753</v>
      </c>
      <c r="J27" s="18">
        <f>J22-1</f>
        <v>114</v>
      </c>
      <c r="L27">
        <f>L22-1</f>
        <v>119</v>
      </c>
      <c r="N27">
        <f>N22-1</f>
        <v>119</v>
      </c>
      <c r="P27">
        <f>P22-1</f>
        <v>119</v>
      </c>
      <c r="R27">
        <f>R22-1</f>
        <v>114</v>
      </c>
      <c r="T27">
        <f>T22-1</f>
        <v>114</v>
      </c>
      <c r="V27">
        <f>V22-1</f>
        <v>114</v>
      </c>
    </row>
    <row r="28" spans="1:34" x14ac:dyDescent="0.3">
      <c r="A28">
        <f t="shared" si="1"/>
        <v>12.416666666666666</v>
      </c>
      <c r="B28">
        <f>B27</f>
        <v>745</v>
      </c>
      <c r="C28">
        <v>1625</v>
      </c>
      <c r="D28" s="1">
        <v>4.1666666666666664E-2</v>
      </c>
      <c r="F28">
        <f t="shared" ref="F28:F29" si="8">F24-1</f>
        <v>114</v>
      </c>
      <c r="H28">
        <f t="shared" ref="H28:H29" si="9">H24-1</f>
        <v>96</v>
      </c>
      <c r="J28">
        <f t="shared" ref="J28:J29" si="10">J24-1</f>
        <v>114</v>
      </c>
      <c r="K28" s="4">
        <v>0.60899999999999999</v>
      </c>
      <c r="L28" s="20">
        <f t="shared" ref="L28:L29" si="11">L24-1</f>
        <v>114</v>
      </c>
      <c r="M28" s="4">
        <v>0.61299999999999999</v>
      </c>
      <c r="N28" s="20">
        <f t="shared" ref="N28:N29" si="12">N24-1</f>
        <v>114</v>
      </c>
      <c r="O28" s="4">
        <v>0.624</v>
      </c>
      <c r="P28" s="20">
        <f t="shared" ref="P28:P29" si="13">P24-1</f>
        <v>114</v>
      </c>
      <c r="R28">
        <f t="shared" ref="R28:R29" si="14">R24-1</f>
        <v>119</v>
      </c>
      <c r="T28">
        <f t="shared" ref="T28:T29" si="15">T24-1</f>
        <v>119</v>
      </c>
      <c r="V28">
        <f t="shared" ref="V28:V29" si="16">V24-1</f>
        <v>119</v>
      </c>
    </row>
    <row r="29" spans="1:34" x14ac:dyDescent="0.3">
      <c r="A29">
        <f t="shared" si="1"/>
        <v>12.5</v>
      </c>
      <c r="B29">
        <f>B28+5</f>
        <v>750</v>
      </c>
      <c r="C29">
        <v>1630</v>
      </c>
      <c r="D29" s="1">
        <v>4.8611111111111112E-2</v>
      </c>
      <c r="F29">
        <f t="shared" si="8"/>
        <v>114</v>
      </c>
      <c r="H29">
        <f t="shared" si="9"/>
        <v>96</v>
      </c>
      <c r="J29">
        <f t="shared" si="10"/>
        <v>114</v>
      </c>
      <c r="L29">
        <f t="shared" si="11"/>
        <v>114</v>
      </c>
      <c r="N29">
        <f t="shared" si="12"/>
        <v>114</v>
      </c>
      <c r="P29">
        <f t="shared" si="13"/>
        <v>114</v>
      </c>
      <c r="Q29" s="5">
        <v>0.55400000000000005</v>
      </c>
      <c r="R29">
        <f t="shared" si="14"/>
        <v>114</v>
      </c>
      <c r="S29" s="5">
        <v>0.627</v>
      </c>
      <c r="T29">
        <f t="shared" si="15"/>
        <v>96</v>
      </c>
      <c r="U29" s="5">
        <v>0.623</v>
      </c>
      <c r="V29">
        <f t="shared" si="16"/>
        <v>114</v>
      </c>
    </row>
    <row r="30" spans="1:34" x14ac:dyDescent="0.3">
      <c r="A30">
        <f t="shared" si="1"/>
        <v>12.583333333333334</v>
      </c>
      <c r="B30">
        <f t="shared" ref="B30:B31" si="17">B29+5</f>
        <v>755</v>
      </c>
      <c r="C30">
        <v>1635</v>
      </c>
      <c r="D30" s="1">
        <v>5.5555555555555552E-2</v>
      </c>
      <c r="F30">
        <f>F26-1</f>
        <v>114</v>
      </c>
      <c r="H30">
        <f>H26-1</f>
        <v>114</v>
      </c>
      <c r="J30">
        <f>J26-1</f>
        <v>114</v>
      </c>
      <c r="L30">
        <f>L26-1</f>
        <v>114</v>
      </c>
      <c r="N30">
        <f>N26-1</f>
        <v>114</v>
      </c>
      <c r="P30">
        <f>P26-1</f>
        <v>114</v>
      </c>
      <c r="R30">
        <f>R26-1</f>
        <v>114</v>
      </c>
      <c r="T30">
        <f>T26-1</f>
        <v>114</v>
      </c>
      <c r="V30">
        <f>V26-1</f>
        <v>114</v>
      </c>
      <c r="W30" s="7">
        <v>0.59399999999999997</v>
      </c>
      <c r="Y30" s="7">
        <v>0.59899999999999998</v>
      </c>
      <c r="AA30" s="7">
        <v>0.59899999999999998</v>
      </c>
    </row>
    <row r="31" spans="1:34" x14ac:dyDescent="0.3">
      <c r="A31">
        <f t="shared" si="1"/>
        <v>12.666666666666666</v>
      </c>
      <c r="B31">
        <f t="shared" si="17"/>
        <v>760</v>
      </c>
      <c r="C31">
        <v>1640</v>
      </c>
      <c r="D31" s="1">
        <v>6.25E-2</v>
      </c>
      <c r="F31">
        <f t="shared" ref="F31:F33" si="18">F27-1</f>
        <v>113</v>
      </c>
      <c r="H31">
        <f t="shared" ref="H31:H33" si="19">H27-1</f>
        <v>95</v>
      </c>
      <c r="J31">
        <f t="shared" ref="J31:J33" si="20">J27-1</f>
        <v>113</v>
      </c>
      <c r="L31">
        <f t="shared" ref="L31:L32" si="21">L27-1</f>
        <v>118</v>
      </c>
      <c r="N31">
        <f t="shared" ref="N31:N33" si="22">N27-1</f>
        <v>118</v>
      </c>
      <c r="P31">
        <f t="shared" ref="P31:P33" si="23">P27-1</f>
        <v>118</v>
      </c>
      <c r="R31">
        <f t="shared" ref="R31:R33" si="24">R27-1</f>
        <v>113</v>
      </c>
      <c r="T31">
        <f t="shared" ref="T31:T33" si="25">T27-1</f>
        <v>113</v>
      </c>
      <c r="V31">
        <f t="shared" ref="V31:V33" si="26">V27-1</f>
        <v>113</v>
      </c>
      <c r="AC31" s="8">
        <v>0.73399999999999999</v>
      </c>
      <c r="AE31" s="8">
        <v>0.73899999999999999</v>
      </c>
      <c r="AG31" s="8">
        <v>0.747</v>
      </c>
    </row>
    <row r="32" spans="1:34" x14ac:dyDescent="0.3">
      <c r="A32">
        <f t="shared" si="1"/>
        <v>13.416666666666666</v>
      </c>
      <c r="B32">
        <f>B27+60</f>
        <v>805</v>
      </c>
      <c r="C32">
        <v>1725</v>
      </c>
      <c r="D32" s="1">
        <v>7.6388888888888895E-2</v>
      </c>
      <c r="E32" s="29">
        <v>0.85899999999999999</v>
      </c>
      <c r="F32">
        <f t="shared" si="18"/>
        <v>113</v>
      </c>
      <c r="G32" s="29">
        <v>0.88300000000000001</v>
      </c>
      <c r="H32">
        <f t="shared" si="19"/>
        <v>95</v>
      </c>
      <c r="I32" s="29">
        <v>0.84799999999999998</v>
      </c>
      <c r="J32">
        <f t="shared" si="20"/>
        <v>113</v>
      </c>
      <c r="L32">
        <f t="shared" si="21"/>
        <v>113</v>
      </c>
      <c r="N32">
        <f t="shared" si="22"/>
        <v>113</v>
      </c>
      <c r="P32">
        <f t="shared" si="23"/>
        <v>113</v>
      </c>
      <c r="R32">
        <f t="shared" si="24"/>
        <v>118</v>
      </c>
      <c r="T32">
        <f t="shared" si="25"/>
        <v>118</v>
      </c>
      <c r="V32">
        <f t="shared" si="26"/>
        <v>118</v>
      </c>
    </row>
    <row r="33" spans="1:33" x14ac:dyDescent="0.3">
      <c r="A33">
        <f t="shared" si="1"/>
        <v>13.416666666666666</v>
      </c>
      <c r="B33">
        <f>B32</f>
        <v>805</v>
      </c>
      <c r="C33">
        <v>1725</v>
      </c>
      <c r="D33" s="1">
        <v>8.3333333333333329E-2</v>
      </c>
      <c r="F33">
        <f t="shared" si="18"/>
        <v>113</v>
      </c>
      <c r="H33">
        <f t="shared" si="19"/>
        <v>95</v>
      </c>
      <c r="J33">
        <f t="shared" si="20"/>
        <v>113</v>
      </c>
      <c r="K33" s="4">
        <v>0.626</v>
      </c>
      <c r="L33">
        <f>L29-1</f>
        <v>113</v>
      </c>
      <c r="M33" s="4">
        <v>0.64100000000000001</v>
      </c>
      <c r="N33">
        <f t="shared" si="22"/>
        <v>113</v>
      </c>
      <c r="O33" s="4">
        <v>0.64400000000000002</v>
      </c>
      <c r="P33">
        <f t="shared" si="23"/>
        <v>113</v>
      </c>
      <c r="R33">
        <f t="shared" si="24"/>
        <v>113</v>
      </c>
      <c r="T33">
        <f t="shared" si="25"/>
        <v>95</v>
      </c>
      <c r="V33">
        <f t="shared" si="26"/>
        <v>113</v>
      </c>
    </row>
    <row r="34" spans="1:33" x14ac:dyDescent="0.3">
      <c r="A34">
        <f t="shared" si="1"/>
        <v>13.5</v>
      </c>
      <c r="B34">
        <f>B33+5</f>
        <v>810</v>
      </c>
      <c r="C34">
        <v>1730</v>
      </c>
      <c r="D34" s="1">
        <v>9.0277777777777776E-2</v>
      </c>
      <c r="F34">
        <f>F30-1</f>
        <v>113</v>
      </c>
      <c r="H34">
        <f>H30-1</f>
        <v>113</v>
      </c>
      <c r="J34">
        <f>J30-1</f>
        <v>113</v>
      </c>
      <c r="L34">
        <f>L30-1</f>
        <v>113</v>
      </c>
      <c r="N34">
        <f>N30-1</f>
        <v>113</v>
      </c>
      <c r="P34">
        <f>P30-1</f>
        <v>113</v>
      </c>
      <c r="Q34" s="5">
        <v>0.60099999999999998</v>
      </c>
      <c r="R34">
        <f>R30-1</f>
        <v>113</v>
      </c>
      <c r="S34" s="5">
        <v>0.68300000000000005</v>
      </c>
      <c r="T34">
        <f>T30-1</f>
        <v>113</v>
      </c>
      <c r="U34" s="5">
        <v>0.69099999999999995</v>
      </c>
      <c r="V34">
        <f>V30-1</f>
        <v>113</v>
      </c>
    </row>
    <row r="35" spans="1:33" x14ac:dyDescent="0.3">
      <c r="A35">
        <f t="shared" si="1"/>
        <v>13.583333333333334</v>
      </c>
      <c r="B35">
        <f t="shared" ref="B35:B36" si="27">B34+5</f>
        <v>815</v>
      </c>
      <c r="C35">
        <v>1735</v>
      </c>
      <c r="D35" s="1">
        <v>9.7222222222222224E-2</v>
      </c>
      <c r="F35">
        <f t="shared" ref="F35:F36" si="28">F31-1</f>
        <v>112</v>
      </c>
      <c r="H35">
        <f t="shared" ref="H35:H36" si="29">H31-1</f>
        <v>94</v>
      </c>
      <c r="J35">
        <f t="shared" ref="J35:J36" si="30">J31-1</f>
        <v>112</v>
      </c>
      <c r="L35">
        <f t="shared" ref="L35:L36" si="31">L31-1</f>
        <v>117</v>
      </c>
      <c r="N35">
        <f t="shared" ref="N35:N36" si="32">N31-1</f>
        <v>117</v>
      </c>
      <c r="P35">
        <f t="shared" ref="P35:P36" si="33">P31-1</f>
        <v>117</v>
      </c>
      <c r="R35">
        <f t="shared" ref="R35:R36" si="34">R31-1</f>
        <v>112</v>
      </c>
      <c r="T35">
        <f t="shared" ref="T35:T36" si="35">T31-1</f>
        <v>112</v>
      </c>
      <c r="V35">
        <f t="shared" ref="V35:V36" si="36">V31-1</f>
        <v>112</v>
      </c>
      <c r="W35" s="7">
        <v>0.61399999999999999</v>
      </c>
      <c r="Y35" s="7">
        <v>0.61699999999999999</v>
      </c>
      <c r="AA35" s="7">
        <v>0.621</v>
      </c>
    </row>
    <row r="36" spans="1:33" x14ac:dyDescent="0.3">
      <c r="A36">
        <f t="shared" si="1"/>
        <v>13.666666666666666</v>
      </c>
      <c r="B36">
        <f t="shared" si="27"/>
        <v>820</v>
      </c>
      <c r="C36">
        <v>1740</v>
      </c>
      <c r="D36" s="1">
        <v>0.10416666666666667</v>
      </c>
      <c r="F36">
        <f t="shared" si="28"/>
        <v>112</v>
      </c>
      <c r="H36">
        <f t="shared" si="29"/>
        <v>94</v>
      </c>
      <c r="J36">
        <f t="shared" si="30"/>
        <v>112</v>
      </c>
      <c r="L36">
        <f t="shared" si="31"/>
        <v>112</v>
      </c>
      <c r="N36">
        <f t="shared" si="32"/>
        <v>112</v>
      </c>
      <c r="P36">
        <f t="shared" si="33"/>
        <v>112</v>
      </c>
      <c r="R36">
        <f t="shared" si="34"/>
        <v>117</v>
      </c>
      <c r="T36">
        <f t="shared" si="35"/>
        <v>117</v>
      </c>
      <c r="V36">
        <f t="shared" si="36"/>
        <v>117</v>
      </c>
      <c r="AC36" s="8">
        <v>0.83899999999999997</v>
      </c>
      <c r="AE36" s="8">
        <v>0.84899999999999998</v>
      </c>
      <c r="AG36" s="8">
        <v>0.874</v>
      </c>
    </row>
    <row r="37" spans="1:33" x14ac:dyDescent="0.3">
      <c r="A37">
        <f>B37/60</f>
        <v>14.416666666666666</v>
      </c>
      <c r="B37">
        <f>B32+60</f>
        <v>865</v>
      </c>
      <c r="C37">
        <v>1825</v>
      </c>
      <c r="D37" s="1">
        <v>0.11805555555555555</v>
      </c>
      <c r="E37" s="29">
        <v>0.96199999999999997</v>
      </c>
      <c r="F37">
        <f t="shared" ref="F37:F42" si="37">F33-1</f>
        <v>112</v>
      </c>
      <c r="G37" s="29">
        <v>0.95599999999999996</v>
      </c>
      <c r="H37">
        <f t="shared" ref="H37:H42" si="38">H33-1</f>
        <v>94</v>
      </c>
      <c r="I37" s="29">
        <v>0.98099999999999998</v>
      </c>
      <c r="J37">
        <f>J33-1</f>
        <v>112</v>
      </c>
      <c r="L37">
        <f t="shared" ref="L37:L42" si="39">L33-1</f>
        <v>112</v>
      </c>
      <c r="N37">
        <f t="shared" ref="N37:N42" si="40">N33-1</f>
        <v>112</v>
      </c>
      <c r="P37">
        <f t="shared" ref="P37:P42" si="41">P33-1</f>
        <v>112</v>
      </c>
      <c r="R37">
        <f t="shared" ref="R37:R42" si="42">R33-1</f>
        <v>112</v>
      </c>
      <c r="T37">
        <f t="shared" ref="T37:T42" si="43">T33-1</f>
        <v>94</v>
      </c>
      <c r="V37">
        <f t="shared" ref="V37:V42" si="44">V33-1</f>
        <v>112</v>
      </c>
    </row>
    <row r="38" spans="1:33" x14ac:dyDescent="0.3">
      <c r="A38">
        <f t="shared" si="1"/>
        <v>14.416666666666666</v>
      </c>
      <c r="B38">
        <f>B37</f>
        <v>865</v>
      </c>
      <c r="C38">
        <v>1825</v>
      </c>
      <c r="D38" s="1">
        <v>0.125</v>
      </c>
      <c r="F38">
        <f t="shared" si="37"/>
        <v>112</v>
      </c>
      <c r="H38">
        <f t="shared" si="38"/>
        <v>112</v>
      </c>
      <c r="J38">
        <f>J34-1</f>
        <v>112</v>
      </c>
      <c r="K38" s="4">
        <v>0.65600000000000003</v>
      </c>
      <c r="L38">
        <f t="shared" si="39"/>
        <v>112</v>
      </c>
      <c r="M38" s="4">
        <v>0.69599999999999995</v>
      </c>
      <c r="N38">
        <f t="shared" si="40"/>
        <v>112</v>
      </c>
      <c r="O38" s="4">
        <v>0.68200000000000005</v>
      </c>
      <c r="P38">
        <f t="shared" si="41"/>
        <v>112</v>
      </c>
      <c r="R38">
        <f t="shared" si="42"/>
        <v>112</v>
      </c>
      <c r="T38">
        <f t="shared" si="43"/>
        <v>112</v>
      </c>
      <c r="V38">
        <f t="shared" si="44"/>
        <v>112</v>
      </c>
    </row>
    <row r="39" spans="1:33" x14ac:dyDescent="0.3">
      <c r="A39">
        <f t="shared" si="1"/>
        <v>14.5</v>
      </c>
      <c r="B39">
        <f>B38+5</f>
        <v>870</v>
      </c>
      <c r="C39">
        <f t="shared" ref="C39:C40" si="45">C38+5</f>
        <v>1830</v>
      </c>
      <c r="D39" s="1">
        <v>0.13194444444444445</v>
      </c>
      <c r="F39">
        <f t="shared" si="37"/>
        <v>111</v>
      </c>
      <c r="H39">
        <f t="shared" si="38"/>
        <v>93</v>
      </c>
      <c r="J39">
        <f>J35-1</f>
        <v>111</v>
      </c>
      <c r="L39">
        <f t="shared" si="39"/>
        <v>116</v>
      </c>
      <c r="N39">
        <f t="shared" si="40"/>
        <v>116</v>
      </c>
      <c r="P39">
        <f t="shared" si="41"/>
        <v>116</v>
      </c>
      <c r="Q39" s="5">
        <v>0.67500000000000004</v>
      </c>
      <c r="R39">
        <f t="shared" si="42"/>
        <v>111</v>
      </c>
      <c r="S39" s="5">
        <v>0.76900000000000002</v>
      </c>
      <c r="T39">
        <f t="shared" si="43"/>
        <v>111</v>
      </c>
      <c r="U39" s="5">
        <v>0.77400000000000002</v>
      </c>
      <c r="V39">
        <f t="shared" si="44"/>
        <v>111</v>
      </c>
    </row>
    <row r="40" spans="1:33" x14ac:dyDescent="0.3">
      <c r="A40">
        <f t="shared" si="1"/>
        <v>14.583333333333334</v>
      </c>
      <c r="B40">
        <f t="shared" ref="B40:B41" si="46">B39+5</f>
        <v>875</v>
      </c>
      <c r="C40">
        <f t="shared" si="45"/>
        <v>1835</v>
      </c>
      <c r="D40" s="1">
        <v>0.1388888888888889</v>
      </c>
      <c r="F40">
        <f t="shared" si="37"/>
        <v>111</v>
      </c>
      <c r="H40">
        <f t="shared" si="38"/>
        <v>93</v>
      </c>
      <c r="J40">
        <f>J36-1</f>
        <v>111</v>
      </c>
      <c r="L40">
        <f t="shared" si="39"/>
        <v>111</v>
      </c>
      <c r="N40">
        <f t="shared" si="40"/>
        <v>111</v>
      </c>
      <c r="P40">
        <f t="shared" si="41"/>
        <v>111</v>
      </c>
      <c r="R40">
        <f t="shared" si="42"/>
        <v>116</v>
      </c>
      <c r="T40">
        <f t="shared" si="43"/>
        <v>116</v>
      </c>
      <c r="V40">
        <f t="shared" si="44"/>
        <v>116</v>
      </c>
      <c r="W40" s="7">
        <v>0.66400000000000003</v>
      </c>
      <c r="Y40" s="7">
        <v>0.67400000000000004</v>
      </c>
      <c r="AA40" s="7">
        <v>0.66800000000000004</v>
      </c>
    </row>
    <row r="41" spans="1:33" x14ac:dyDescent="0.3">
      <c r="A41">
        <f t="shared" si="1"/>
        <v>14.666666666666666</v>
      </c>
      <c r="B41">
        <f t="shared" si="46"/>
        <v>880</v>
      </c>
      <c r="C41">
        <v>1840</v>
      </c>
      <c r="D41" s="1">
        <v>0.14583333333333334</v>
      </c>
      <c r="F41">
        <f t="shared" si="37"/>
        <v>111</v>
      </c>
      <c r="H41">
        <f t="shared" si="38"/>
        <v>93</v>
      </c>
      <c r="J41">
        <f t="shared" ref="J41:J42" si="47">J37-1</f>
        <v>111</v>
      </c>
      <c r="L41">
        <f t="shared" si="39"/>
        <v>111</v>
      </c>
      <c r="N41">
        <f t="shared" si="40"/>
        <v>111</v>
      </c>
      <c r="P41">
        <f t="shared" si="41"/>
        <v>111</v>
      </c>
      <c r="R41">
        <f t="shared" si="42"/>
        <v>111</v>
      </c>
      <c r="T41">
        <f t="shared" si="43"/>
        <v>93</v>
      </c>
      <c r="V41">
        <f t="shared" si="44"/>
        <v>111</v>
      </c>
      <c r="AC41" s="8">
        <v>0.94899999999999995</v>
      </c>
      <c r="AE41" s="8">
        <v>0.94299999999999995</v>
      </c>
      <c r="AG41" s="8">
        <v>0.96299999999999997</v>
      </c>
    </row>
    <row r="42" spans="1:33" x14ac:dyDescent="0.3">
      <c r="A42">
        <f t="shared" si="1"/>
        <v>15.416666666666666</v>
      </c>
      <c r="B42">
        <f>B37+60</f>
        <v>925</v>
      </c>
      <c r="C42">
        <v>1925</v>
      </c>
      <c r="D42" s="1">
        <v>0.15972222222222221</v>
      </c>
      <c r="E42" s="29">
        <v>1.093</v>
      </c>
      <c r="F42">
        <f t="shared" si="37"/>
        <v>111</v>
      </c>
      <c r="G42" s="29">
        <v>1.0980000000000001</v>
      </c>
      <c r="H42">
        <f t="shared" si="38"/>
        <v>111</v>
      </c>
      <c r="I42" s="29">
        <v>1.0720000000000001</v>
      </c>
      <c r="J42">
        <f t="shared" si="47"/>
        <v>111</v>
      </c>
      <c r="L42">
        <f t="shared" si="39"/>
        <v>111</v>
      </c>
      <c r="N42">
        <f t="shared" si="40"/>
        <v>111</v>
      </c>
      <c r="P42">
        <f t="shared" si="41"/>
        <v>111</v>
      </c>
      <c r="R42">
        <f t="shared" si="42"/>
        <v>111</v>
      </c>
      <c r="T42">
        <f t="shared" si="43"/>
        <v>111</v>
      </c>
      <c r="V42">
        <f t="shared" si="44"/>
        <v>111</v>
      </c>
    </row>
    <row r="43" spans="1:33" x14ac:dyDescent="0.3">
      <c r="A43">
        <f t="shared" si="1"/>
        <v>15.416666666666666</v>
      </c>
      <c r="B43">
        <f>B42</f>
        <v>925</v>
      </c>
      <c r="C43">
        <v>1925</v>
      </c>
      <c r="D43" s="1">
        <v>0.16666666666666666</v>
      </c>
      <c r="F43">
        <f t="shared" ref="F43:F45" si="48">F39-1</f>
        <v>110</v>
      </c>
      <c r="H43">
        <f t="shared" ref="H43:H45" si="49">H39-1</f>
        <v>92</v>
      </c>
      <c r="J43">
        <f t="shared" ref="J43:J45" si="50">J39-1</f>
        <v>110</v>
      </c>
      <c r="K43" s="4">
        <v>0.72199999999999998</v>
      </c>
      <c r="L43">
        <f t="shared" ref="L43:L45" si="51">L39-1</f>
        <v>115</v>
      </c>
      <c r="M43" s="4">
        <v>0.75700000000000001</v>
      </c>
      <c r="N43">
        <f t="shared" ref="N43:N45" si="52">N39-1</f>
        <v>115</v>
      </c>
      <c r="O43" s="4">
        <v>0.77</v>
      </c>
      <c r="P43">
        <f t="shared" ref="P43:P45" si="53">P39-1</f>
        <v>115</v>
      </c>
      <c r="R43">
        <f t="shared" ref="R43:R45" si="54">R39-1</f>
        <v>110</v>
      </c>
      <c r="T43">
        <f t="shared" ref="T43:T45" si="55">T39-1</f>
        <v>110</v>
      </c>
      <c r="V43">
        <f t="shared" ref="V43:V45" si="56">V39-1</f>
        <v>110</v>
      </c>
    </row>
    <row r="44" spans="1:33" x14ac:dyDescent="0.3">
      <c r="A44">
        <f t="shared" si="1"/>
        <v>15.5</v>
      </c>
      <c r="B44">
        <f>B43+5</f>
        <v>930</v>
      </c>
      <c r="C44">
        <v>1930</v>
      </c>
      <c r="D44" s="1">
        <v>0.1736111111111111</v>
      </c>
      <c r="F44">
        <f t="shared" si="48"/>
        <v>110</v>
      </c>
      <c r="H44">
        <f t="shared" si="49"/>
        <v>92</v>
      </c>
      <c r="J44">
        <f t="shared" si="50"/>
        <v>110</v>
      </c>
      <c r="L44">
        <f t="shared" si="51"/>
        <v>110</v>
      </c>
      <c r="N44">
        <f t="shared" si="52"/>
        <v>110</v>
      </c>
      <c r="P44">
        <f t="shared" si="53"/>
        <v>110</v>
      </c>
      <c r="Q44" s="5">
        <v>0.76700000000000002</v>
      </c>
      <c r="R44">
        <f t="shared" si="54"/>
        <v>115</v>
      </c>
      <c r="S44" s="5">
        <v>0.85599999999999998</v>
      </c>
      <c r="T44">
        <f t="shared" si="55"/>
        <v>115</v>
      </c>
      <c r="U44" s="5">
        <v>0.85499999999999998</v>
      </c>
      <c r="V44">
        <f t="shared" si="56"/>
        <v>115</v>
      </c>
    </row>
    <row r="45" spans="1:33" x14ac:dyDescent="0.3">
      <c r="A45">
        <f t="shared" si="1"/>
        <v>15.583333333333334</v>
      </c>
      <c r="B45">
        <f t="shared" ref="B45:B46" si="57">B44+5</f>
        <v>935</v>
      </c>
      <c r="C45">
        <v>1935</v>
      </c>
      <c r="D45" s="1">
        <v>0.18055555555555555</v>
      </c>
      <c r="F45">
        <f t="shared" si="48"/>
        <v>110</v>
      </c>
      <c r="H45">
        <f t="shared" si="49"/>
        <v>92</v>
      </c>
      <c r="J45">
        <f t="shared" si="50"/>
        <v>110</v>
      </c>
      <c r="L45">
        <f t="shared" si="51"/>
        <v>110</v>
      </c>
      <c r="N45">
        <f t="shared" si="52"/>
        <v>110</v>
      </c>
      <c r="P45">
        <f t="shared" si="53"/>
        <v>110</v>
      </c>
      <c r="R45">
        <f t="shared" si="54"/>
        <v>110</v>
      </c>
      <c r="T45">
        <f t="shared" si="55"/>
        <v>92</v>
      </c>
      <c r="V45">
        <f t="shared" si="56"/>
        <v>110</v>
      </c>
      <c r="W45" s="7">
        <v>0.73399999999999999</v>
      </c>
      <c r="Y45" s="7">
        <v>0.72799999999999998</v>
      </c>
      <c r="AA45" s="7">
        <v>0.745</v>
      </c>
    </row>
    <row r="46" spans="1:33" x14ac:dyDescent="0.3">
      <c r="A46">
        <f t="shared" si="1"/>
        <v>15.666666666666666</v>
      </c>
      <c r="B46">
        <f t="shared" si="57"/>
        <v>940</v>
      </c>
      <c r="C46">
        <f>C45+5</f>
        <v>1940</v>
      </c>
      <c r="D46" s="1">
        <v>0.1875</v>
      </c>
      <c r="F46">
        <f>F42-1</f>
        <v>110</v>
      </c>
      <c r="H46">
        <f>H42-1</f>
        <v>110</v>
      </c>
      <c r="J46">
        <f>J42-1</f>
        <v>110</v>
      </c>
      <c r="L46">
        <f>L42-1</f>
        <v>110</v>
      </c>
      <c r="N46">
        <f>N42-1</f>
        <v>110</v>
      </c>
      <c r="P46">
        <f>P42-1</f>
        <v>110</v>
      </c>
      <c r="R46">
        <f>R42-1</f>
        <v>110</v>
      </c>
      <c r="T46">
        <f>T42-1</f>
        <v>110</v>
      </c>
      <c r="V46">
        <f>V42-1</f>
        <v>110</v>
      </c>
      <c r="AC46" s="8">
        <v>1.038</v>
      </c>
      <c r="AE46" s="8">
        <v>1.079</v>
      </c>
      <c r="AG46" s="8">
        <v>1.089</v>
      </c>
    </row>
    <row r="47" spans="1:33" x14ac:dyDescent="0.3">
      <c r="A47">
        <f>B47/60</f>
        <v>16.416666666666668</v>
      </c>
      <c r="B47">
        <f>B42+60</f>
        <v>985</v>
      </c>
      <c r="C47">
        <v>2025</v>
      </c>
      <c r="D47" s="1">
        <v>0.2013888888888889</v>
      </c>
      <c r="E47" s="29"/>
      <c r="F47">
        <f t="shared" ref="F47:F49" si="58">F43-1</f>
        <v>109</v>
      </c>
      <c r="G47" s="29"/>
      <c r="H47">
        <f t="shared" ref="H47:H49" si="59">H43-1</f>
        <v>91</v>
      </c>
      <c r="I47" s="29"/>
      <c r="J47">
        <f t="shared" ref="J47:J48" si="60">J43-1</f>
        <v>109</v>
      </c>
      <c r="L47">
        <f t="shared" ref="L47:L49" si="61">L43-1</f>
        <v>114</v>
      </c>
      <c r="N47">
        <f t="shared" ref="N47:N49" si="62">N43-1</f>
        <v>114</v>
      </c>
      <c r="P47">
        <f t="shared" ref="P47:P49" si="63">P43-1</f>
        <v>114</v>
      </c>
      <c r="R47">
        <f t="shared" ref="R47:R49" si="64">R43-1</f>
        <v>109</v>
      </c>
      <c r="T47">
        <f t="shared" ref="T47:T49" si="65">T43-1</f>
        <v>109</v>
      </c>
      <c r="V47">
        <f t="shared" ref="V47:V49" si="66">V43-1</f>
        <v>109</v>
      </c>
    </row>
    <row r="48" spans="1:33" x14ac:dyDescent="0.3">
      <c r="A48">
        <f t="shared" si="1"/>
        <v>16.416666666666668</v>
      </c>
      <c r="B48">
        <f>B47</f>
        <v>985</v>
      </c>
      <c r="C48">
        <v>2025</v>
      </c>
      <c r="D48" s="1">
        <v>0.20833333333333334</v>
      </c>
      <c r="F48">
        <f t="shared" si="58"/>
        <v>109</v>
      </c>
      <c r="H48">
        <f t="shared" si="59"/>
        <v>91</v>
      </c>
      <c r="J48">
        <f t="shared" si="60"/>
        <v>109</v>
      </c>
      <c r="K48" s="4"/>
      <c r="L48">
        <f t="shared" si="61"/>
        <v>109</v>
      </c>
      <c r="M48" s="4"/>
      <c r="N48">
        <f t="shared" si="62"/>
        <v>109</v>
      </c>
      <c r="O48" s="4"/>
      <c r="P48">
        <f t="shared" si="63"/>
        <v>109</v>
      </c>
      <c r="R48">
        <f t="shared" si="64"/>
        <v>114</v>
      </c>
      <c r="T48">
        <f t="shared" si="65"/>
        <v>114</v>
      </c>
      <c r="V48">
        <f t="shared" si="66"/>
        <v>114</v>
      </c>
    </row>
    <row r="49" spans="1:33" x14ac:dyDescent="0.3">
      <c r="A49">
        <f t="shared" si="1"/>
        <v>16.5</v>
      </c>
      <c r="B49">
        <f>B48+5</f>
        <v>990</v>
      </c>
      <c r="C49">
        <v>2030</v>
      </c>
      <c r="D49" s="1">
        <v>0.21527777777777779</v>
      </c>
      <c r="F49">
        <f t="shared" si="58"/>
        <v>109</v>
      </c>
      <c r="H49">
        <f t="shared" si="59"/>
        <v>91</v>
      </c>
      <c r="J49">
        <f>J45-1</f>
        <v>109</v>
      </c>
      <c r="L49">
        <f t="shared" si="61"/>
        <v>109</v>
      </c>
      <c r="N49">
        <f t="shared" si="62"/>
        <v>109</v>
      </c>
      <c r="P49">
        <f t="shared" si="63"/>
        <v>109</v>
      </c>
      <c r="Q49" s="5"/>
      <c r="R49">
        <f t="shared" si="64"/>
        <v>109</v>
      </c>
      <c r="S49" s="5"/>
      <c r="T49">
        <f t="shared" si="65"/>
        <v>91</v>
      </c>
      <c r="U49" s="5"/>
      <c r="V49">
        <f t="shared" si="66"/>
        <v>109</v>
      </c>
    </row>
    <row r="50" spans="1:33" x14ac:dyDescent="0.3">
      <c r="A50">
        <f t="shared" si="1"/>
        <v>16.583333333333332</v>
      </c>
      <c r="B50">
        <f t="shared" ref="B50:B51" si="67">B49+5</f>
        <v>995</v>
      </c>
      <c r="C50">
        <v>2035</v>
      </c>
      <c r="D50" s="1">
        <v>0.22222222222222221</v>
      </c>
      <c r="F50">
        <f>F46-1</f>
        <v>109</v>
      </c>
      <c r="H50">
        <f>H46-1</f>
        <v>109</v>
      </c>
      <c r="J50">
        <f>J46-1</f>
        <v>109</v>
      </c>
      <c r="L50">
        <f>L46-1</f>
        <v>109</v>
      </c>
      <c r="N50">
        <f>N46-1</f>
        <v>109</v>
      </c>
      <c r="P50">
        <f>P46-1</f>
        <v>109</v>
      </c>
      <c r="R50">
        <f>R46-1</f>
        <v>109</v>
      </c>
      <c r="T50">
        <f>T46-1</f>
        <v>109</v>
      </c>
      <c r="V50">
        <f>V46-1</f>
        <v>109</v>
      </c>
      <c r="W50" s="7"/>
      <c r="Y50" s="7"/>
      <c r="AA50" s="7"/>
    </row>
    <row r="51" spans="1:33" x14ac:dyDescent="0.3">
      <c r="A51">
        <f t="shared" si="1"/>
        <v>16.666666666666668</v>
      </c>
      <c r="B51">
        <f t="shared" si="67"/>
        <v>1000</v>
      </c>
      <c r="C51">
        <v>2040</v>
      </c>
      <c r="D51" s="1">
        <v>0.22916666666666666</v>
      </c>
      <c r="F51">
        <f t="shared" ref="F51" si="68">F47-1</f>
        <v>108</v>
      </c>
      <c r="H51">
        <f t="shared" ref="H51" si="69">H47-1</f>
        <v>90</v>
      </c>
      <c r="J51">
        <f t="shared" ref="J51" si="70">J47-1</f>
        <v>108</v>
      </c>
      <c r="L51">
        <f t="shared" ref="L51" si="71">L47-1</f>
        <v>113</v>
      </c>
      <c r="N51">
        <f t="shared" ref="N51" si="72">N47-1</f>
        <v>113</v>
      </c>
      <c r="P51">
        <f t="shared" ref="P51" si="73">P47-1</f>
        <v>113</v>
      </c>
      <c r="R51">
        <f t="shared" ref="R51" si="74">R47-1</f>
        <v>108</v>
      </c>
      <c r="T51">
        <f t="shared" ref="T51" si="75">T47-1</f>
        <v>108</v>
      </c>
      <c r="V51">
        <f t="shared" ref="V51" si="76">V47-1</f>
        <v>108</v>
      </c>
      <c r="AC51" s="8"/>
      <c r="AE51" s="8"/>
      <c r="AG51" s="8"/>
    </row>
  </sheetData>
  <mergeCells count="2">
    <mergeCell ref="C1:D1"/>
    <mergeCell ref="F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5468-6B28-4EC6-9DCF-832C15671AC3}">
  <dimension ref="A1"/>
  <sheetViews>
    <sheetView workbookViewId="0">
      <selection activeCell="L18" sqref="L18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585E2F1E0CD2458412F14E9220E564" ma:contentTypeVersion="7" ma:contentTypeDescription="Create a new document." ma:contentTypeScope="" ma:versionID="7b8c57cb8ae8f87ee3810f920b5ee225">
  <xsd:schema xmlns:xsd="http://www.w3.org/2001/XMLSchema" xmlns:xs="http://www.w3.org/2001/XMLSchema" xmlns:p="http://schemas.microsoft.com/office/2006/metadata/properties" xmlns:ns3="8465f05f-60a8-4da4-9c69-a0428e55966c" targetNamespace="http://schemas.microsoft.com/office/2006/metadata/properties" ma:root="true" ma:fieldsID="b88802a4342af1cbf259f0a217f8fec1" ns3:_="">
    <xsd:import namespace="8465f05f-60a8-4da4-9c69-a0428e5596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5f05f-60a8-4da4-9c69-a0428e5596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B12D3C-B8B9-405F-A862-2C2FEE3ACB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D315A0-DD87-4DDB-8CAB-B3A48A8A0C44}">
  <ds:schemaRefs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8465f05f-60a8-4da4-9c69-a0428e55966c"/>
  </ds:schemaRefs>
</ds:datastoreItem>
</file>

<file path=customXml/itemProps3.xml><?xml version="1.0" encoding="utf-8"?>
<ds:datastoreItem xmlns:ds="http://schemas.openxmlformats.org/officeDocument/2006/customXml" ds:itemID="{6C031CA4-CCA3-414D-9FB2-C0C514B77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65f05f-60a8-4da4-9c69-a0428e5596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220013700_GROWTH_CURVE_DATA_07_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Cheadee (220013700)</dc:creator>
  <cp:lastModifiedBy>Damian Cheadee (220013700)</cp:lastModifiedBy>
  <dcterms:created xsi:type="dcterms:W3CDTF">2025-10-07T04:39:50Z</dcterms:created>
  <dcterms:modified xsi:type="dcterms:W3CDTF">2025-11-22T20:00:23Z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0x0101003E585E2F1E0CD2458412F14E9220E564</vt:lpwstr>
  </property>
</Properties>
</file>