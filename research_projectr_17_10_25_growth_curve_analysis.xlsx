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"/>
    </mc:Choice>
  </mc:AlternateContent>
  <xr:revisionPtr revIDLastSave="0" documentId="8_{81586955-5E07-423E-971B-8842DF878E34}" xr6:coauthVersionLast="47" xr6:coauthVersionMax="47" xr10:uidLastSave="{00000000-0000-0000-0000-000000000000}"/>
  <bookViews>
    <workbookView xWindow="-108" yWindow="-108" windowWidth="23256" windowHeight="12456" xr2:uid="{CACD34AB-5723-4609-9831-546F63ADD24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" i="1" l="1"/>
  <c r="AC19" i="1"/>
  <c r="AC20" i="1"/>
  <c r="AC21" i="1"/>
  <c r="AC22" i="1"/>
  <c r="AC23" i="1"/>
  <c r="AC24" i="1"/>
  <c r="AC25" i="1"/>
  <c r="AC26" i="1"/>
  <c r="AC17" i="1"/>
  <c r="AC16" i="1"/>
  <c r="AB18" i="1"/>
  <c r="AB19" i="1"/>
  <c r="AB20" i="1"/>
  <c r="AB21" i="1"/>
  <c r="AB22" i="1"/>
  <c r="AB23" i="1"/>
  <c r="AB24" i="1"/>
  <c r="AB25" i="1"/>
  <c r="AB26" i="1"/>
  <c r="AB17" i="1"/>
  <c r="AB16" i="1"/>
  <c r="AA18" i="1"/>
  <c r="AA19" i="1"/>
  <c r="AA20" i="1"/>
  <c r="AA21" i="1"/>
  <c r="AA22" i="1"/>
  <c r="AA23" i="1"/>
  <c r="AA24" i="1"/>
  <c r="AA25" i="1"/>
  <c r="AA26" i="1"/>
  <c r="AA17" i="1"/>
  <c r="AA16" i="1"/>
  <c r="Z18" i="1"/>
  <c r="Z19" i="1"/>
  <c r="Z20" i="1"/>
  <c r="Z21" i="1"/>
  <c r="Z22" i="1"/>
  <c r="Z23" i="1"/>
  <c r="Z24" i="1"/>
  <c r="Z25" i="1"/>
  <c r="Z26" i="1"/>
  <c r="Z17" i="1"/>
  <c r="Z16" i="1"/>
  <c r="Y18" i="1"/>
  <c r="Y19" i="1"/>
  <c r="Y20" i="1"/>
  <c r="Y21" i="1"/>
  <c r="Y22" i="1"/>
  <c r="Y23" i="1"/>
  <c r="Y24" i="1"/>
  <c r="Y25" i="1"/>
  <c r="Y26" i="1"/>
  <c r="Y17" i="1"/>
  <c r="Y16" i="1"/>
  <c r="W18" i="1"/>
  <c r="W19" i="1"/>
  <c r="W20" i="1"/>
  <c r="W21" i="1"/>
  <c r="W22" i="1"/>
  <c r="W23" i="1"/>
  <c r="W24" i="1"/>
  <c r="W25" i="1"/>
  <c r="W26" i="1"/>
  <c r="W17" i="1"/>
  <c r="W16" i="1"/>
  <c r="V18" i="1"/>
  <c r="V19" i="1"/>
  <c r="V20" i="1"/>
  <c r="V21" i="1"/>
  <c r="V22" i="1"/>
  <c r="V23" i="1"/>
  <c r="V24" i="1"/>
  <c r="V25" i="1"/>
  <c r="V26" i="1"/>
  <c r="V17" i="1"/>
  <c r="V16" i="1"/>
  <c r="U18" i="1"/>
  <c r="U19" i="1"/>
  <c r="U20" i="1"/>
  <c r="U21" i="1"/>
  <c r="U22" i="1"/>
  <c r="U23" i="1"/>
  <c r="U24" i="1"/>
  <c r="U25" i="1"/>
  <c r="U26" i="1"/>
  <c r="U17" i="1"/>
  <c r="U16" i="1"/>
  <c r="T17" i="1"/>
  <c r="T18" i="1"/>
  <c r="T19" i="1"/>
  <c r="T20" i="1"/>
  <c r="T21" i="1"/>
  <c r="T22" i="1"/>
  <c r="T23" i="1"/>
  <c r="T24" i="1"/>
  <c r="T25" i="1"/>
  <c r="T26" i="1"/>
  <c r="T16" i="1"/>
  <c r="S18" i="1"/>
  <c r="S19" i="1"/>
  <c r="S20" i="1"/>
  <c r="S21" i="1"/>
  <c r="S22" i="1"/>
  <c r="S23" i="1"/>
  <c r="S24" i="1"/>
  <c r="S25" i="1"/>
  <c r="S26" i="1"/>
  <c r="S17" i="1"/>
  <c r="S16" i="1"/>
  <c r="AF4" i="1"/>
  <c r="AF5" i="1"/>
  <c r="AF6" i="1"/>
  <c r="AF7" i="1"/>
  <c r="AF8" i="1"/>
  <c r="AF9" i="1"/>
  <c r="AF10" i="1"/>
  <c r="AF11" i="1"/>
  <c r="AF12" i="1"/>
  <c r="AF3" i="1"/>
  <c r="AF2" i="1"/>
  <c r="AE4" i="1"/>
  <c r="AE5" i="1"/>
  <c r="AE6" i="1"/>
  <c r="AE7" i="1"/>
  <c r="AE8" i="1"/>
  <c r="AE9" i="1"/>
  <c r="AE10" i="1"/>
  <c r="AE11" i="1"/>
  <c r="AE12" i="1"/>
  <c r="AE3" i="1"/>
  <c r="AE2" i="1"/>
  <c r="AD4" i="1"/>
  <c r="AD5" i="1"/>
  <c r="AD6" i="1"/>
  <c r="AD7" i="1"/>
  <c r="AD8" i="1"/>
  <c r="AD9" i="1"/>
  <c r="AD10" i="1"/>
  <c r="AD11" i="1"/>
  <c r="AD12" i="1"/>
  <c r="AD3" i="1"/>
  <c r="AD2" i="1"/>
  <c r="AC4" i="1"/>
  <c r="AC5" i="1"/>
  <c r="AC6" i="1"/>
  <c r="AC7" i="1"/>
  <c r="AC8" i="1"/>
  <c r="AC9" i="1"/>
  <c r="AC10" i="1"/>
  <c r="AC11" i="1"/>
  <c r="AC12" i="1"/>
  <c r="AC3" i="1"/>
  <c r="AC2" i="1"/>
  <c r="AB4" i="1"/>
  <c r="AB5" i="1"/>
  <c r="AB6" i="1"/>
  <c r="AB7" i="1"/>
  <c r="AB8" i="1"/>
  <c r="AB9" i="1"/>
  <c r="AB10" i="1"/>
  <c r="AB11" i="1"/>
  <c r="AB12" i="1"/>
  <c r="AB3" i="1"/>
  <c r="AB2" i="1"/>
  <c r="AA4" i="1"/>
  <c r="AA5" i="1"/>
  <c r="AA6" i="1"/>
  <c r="AA7" i="1"/>
  <c r="AA8" i="1"/>
  <c r="AA9" i="1"/>
  <c r="AA10" i="1"/>
  <c r="AA11" i="1"/>
  <c r="AA12" i="1"/>
  <c r="AA3" i="1"/>
  <c r="AA2" i="1"/>
  <c r="Z4" i="1"/>
  <c r="Z5" i="1"/>
  <c r="Z6" i="1"/>
  <c r="Z7" i="1"/>
  <c r="Z8" i="1"/>
  <c r="Z9" i="1"/>
  <c r="Z10" i="1"/>
  <c r="Z11" i="1"/>
  <c r="Z12" i="1"/>
  <c r="Z3" i="1"/>
  <c r="Z2" i="1"/>
  <c r="Y4" i="1"/>
  <c r="Y5" i="1"/>
  <c r="Y6" i="1"/>
  <c r="Y7" i="1"/>
  <c r="Y8" i="1"/>
  <c r="Y9" i="1"/>
  <c r="Y10" i="1"/>
  <c r="Y11" i="1"/>
  <c r="Y12" i="1"/>
  <c r="Y3" i="1"/>
  <c r="Y2" i="1"/>
  <c r="X4" i="1"/>
  <c r="X5" i="1"/>
  <c r="X6" i="1"/>
  <c r="X7" i="1"/>
  <c r="X8" i="1"/>
  <c r="X9" i="1"/>
  <c r="X10" i="1"/>
  <c r="X11" i="1"/>
  <c r="X12" i="1"/>
  <c r="X3" i="1"/>
  <c r="X2" i="1"/>
  <c r="W4" i="1"/>
  <c r="W5" i="1"/>
  <c r="W6" i="1"/>
  <c r="W7" i="1"/>
  <c r="W8" i="1"/>
  <c r="W9" i="1"/>
  <c r="W10" i="1"/>
  <c r="W11" i="1"/>
  <c r="W12" i="1"/>
  <c r="W3" i="1"/>
  <c r="W2" i="1"/>
  <c r="V4" i="1"/>
  <c r="V5" i="1"/>
  <c r="V6" i="1"/>
  <c r="V7" i="1"/>
  <c r="V8" i="1"/>
  <c r="V9" i="1"/>
  <c r="V10" i="1"/>
  <c r="V11" i="1"/>
  <c r="V12" i="1"/>
  <c r="V3" i="1"/>
  <c r="V2" i="1"/>
  <c r="U4" i="1"/>
  <c r="U5" i="1"/>
  <c r="U6" i="1"/>
  <c r="U7" i="1"/>
  <c r="U8" i="1"/>
  <c r="U9" i="1"/>
  <c r="U10" i="1"/>
  <c r="U11" i="1"/>
  <c r="U12" i="1"/>
  <c r="U3" i="1"/>
  <c r="U2" i="1"/>
  <c r="T4" i="1"/>
  <c r="T5" i="1"/>
  <c r="T6" i="1"/>
  <c r="T7" i="1"/>
  <c r="T8" i="1"/>
  <c r="T9" i="1"/>
  <c r="T10" i="1"/>
  <c r="T11" i="1"/>
  <c r="T12" i="1"/>
  <c r="T3" i="1"/>
  <c r="T2" i="1"/>
  <c r="S4" i="1"/>
  <c r="S5" i="1"/>
  <c r="S6" i="1"/>
  <c r="S7" i="1"/>
  <c r="S8" i="1"/>
  <c r="S9" i="1"/>
  <c r="S10" i="1"/>
  <c r="S11" i="1"/>
  <c r="S12" i="1"/>
  <c r="S3" i="1"/>
  <c r="S2" i="1"/>
</calcChain>
</file>

<file path=xl/sharedStrings.xml><?xml version="1.0" encoding="utf-8"?>
<sst xmlns="http://schemas.openxmlformats.org/spreadsheetml/2006/main" count="59" uniqueCount="27">
  <si>
    <t>Time</t>
  </si>
  <si>
    <t>C1</t>
  </si>
  <si>
    <t>C2</t>
  </si>
  <si>
    <t>C3</t>
  </si>
  <si>
    <t>A1</t>
  </si>
  <si>
    <t>A2</t>
  </si>
  <si>
    <t>A3</t>
  </si>
  <si>
    <t>B1</t>
  </si>
  <si>
    <t>B2</t>
  </si>
  <si>
    <t>B3</t>
  </si>
  <si>
    <t>D1</t>
  </si>
  <si>
    <t>D2</t>
  </si>
  <si>
    <t>D3</t>
  </si>
  <si>
    <t>E1</t>
  </si>
  <si>
    <t>E2</t>
  </si>
  <si>
    <t>E3</t>
  </si>
  <si>
    <t>Control</t>
  </si>
  <si>
    <t>2mM</t>
  </si>
  <si>
    <t>2mM_Pyruvate</t>
  </si>
  <si>
    <t>2mM_Spermidine</t>
  </si>
  <si>
    <t>2mM_DTT</t>
  </si>
  <si>
    <t>C</t>
  </si>
  <si>
    <t>A</t>
  </si>
  <si>
    <t>B</t>
  </si>
  <si>
    <t>D</t>
  </si>
  <si>
    <t>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</si>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</sst>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689-999F-472D-8216-F39630F4D41E}">
  <dimension ref="A1:AF64"/>
  <sheetViews>
    <sheetView tabSelected="1" topLeftCell="P24" workbookViewId="0">
      <selection activeCell="R31" sqref="R31:W64"/>
    </sheetView>
  </sheetViews>
  <sheetFormatPr defaultRowHeight="14.4" x14ac:dyDescent="0.3"/>
  <cols>
    <col min="20" max="20" width="8.5546875" customWidth="1"/>
    <col min="21" max="21" width="12.5546875" customWidth="1"/>
    <col min="22" max="22" width="14.77734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</row>
    <row r="2" spans="1:32" x14ac:dyDescent="0.3">
      <c r="A2">
        <v>0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  <c r="R2">
        <v>0</v>
      </c>
      <c r="S2">
        <f>LOG(B2)</f>
        <v>-0.82390874094431876</v>
      </c>
      <c r="T2">
        <f>LOG(C2)</f>
        <v>-0.82390874094431876</v>
      </c>
      <c r="U2">
        <f>LOG(G2)</f>
        <v>-0.82390874094431876</v>
      </c>
      <c r="V2">
        <f t="shared" ref="V2:X3" si="0">LOG(E2)</f>
        <v>-0.82390874094431876</v>
      </c>
      <c r="W2">
        <f t="shared" si="0"/>
        <v>-0.82390874094431876</v>
      </c>
      <c r="X2">
        <f t="shared" si="0"/>
        <v>-0.82390874094431876</v>
      </c>
      <c r="Y2">
        <f t="shared" ref="Y2:AF3" si="1">LOG(I2)</f>
        <v>-0.82390874094431876</v>
      </c>
      <c r="Z2">
        <f t="shared" si="1"/>
        <v>-0.82390874094431876</v>
      </c>
      <c r="AA2">
        <f t="shared" si="1"/>
        <v>-0.82390874094431876</v>
      </c>
      <c r="AB2">
        <f t="shared" si="1"/>
        <v>-0.82390874094431876</v>
      </c>
      <c r="AC2">
        <f t="shared" si="1"/>
        <v>-0.82390874094431876</v>
      </c>
      <c r="AD2">
        <f t="shared" si="1"/>
        <v>-0.82390874094431876</v>
      </c>
      <c r="AE2">
        <f t="shared" si="1"/>
        <v>-0.82390874094431876</v>
      </c>
      <c r="AF2">
        <f t="shared" si="1"/>
        <v>-0.82390874094431876</v>
      </c>
    </row>
    <row r="3" spans="1:32" x14ac:dyDescent="0.3">
      <c r="A3">
        <v>3</v>
      </c>
      <c r="B3">
        <v>0.20300000000000001</v>
      </c>
      <c r="C3">
        <v>0.20399999999999999</v>
      </c>
      <c r="D3">
        <v>0.22600000000000001</v>
      </c>
      <c r="E3">
        <v>0.20599999999999999</v>
      </c>
      <c r="F3">
        <v>0.21299999999999999</v>
      </c>
      <c r="G3">
        <v>0.20899999999999999</v>
      </c>
      <c r="H3">
        <v>0.221</v>
      </c>
      <c r="I3">
        <v>0.219</v>
      </c>
      <c r="J3">
        <v>0.20499999999999999</v>
      </c>
      <c r="K3">
        <v>0.20599999999999999</v>
      </c>
      <c r="L3">
        <v>0.222</v>
      </c>
      <c r="M3">
        <v>0.20300000000000001</v>
      </c>
      <c r="N3">
        <v>0.21099999999999999</v>
      </c>
      <c r="O3">
        <v>0.20399999999999999</v>
      </c>
      <c r="P3">
        <v>0.20799999999999999</v>
      </c>
      <c r="R3">
        <v>3</v>
      </c>
      <c r="S3">
        <f>LOG(B3)</f>
        <v>-0.69250396208678711</v>
      </c>
      <c r="T3">
        <f>LOG(C3)</f>
        <v>-0.69036983257410123</v>
      </c>
      <c r="U3">
        <f>LOG(D3)</f>
        <v>-0.64589156085259902</v>
      </c>
      <c r="V3">
        <f t="shared" si="0"/>
        <v>-0.68613277963084662</v>
      </c>
      <c r="W3">
        <f t="shared" si="0"/>
        <v>-0.67162039656126227</v>
      </c>
      <c r="X3">
        <f t="shared" si="0"/>
        <v>-0.679853713888946</v>
      </c>
      <c r="Y3">
        <f t="shared" si="1"/>
        <v>-0.65955588515988162</v>
      </c>
      <c r="Z3">
        <f t="shared" si="1"/>
        <v>-0.68824613894424569</v>
      </c>
      <c r="AA3">
        <f t="shared" si="1"/>
        <v>-0.68613277963084662</v>
      </c>
      <c r="AB3">
        <f t="shared" si="1"/>
        <v>-0.65364702554936138</v>
      </c>
      <c r="AC3">
        <f t="shared" si="1"/>
        <v>-0.69250396208678711</v>
      </c>
      <c r="AD3">
        <f t="shared" si="1"/>
        <v>-0.67571754470230738</v>
      </c>
      <c r="AE3">
        <f t="shared" si="1"/>
        <v>-0.69036983257410123</v>
      </c>
      <c r="AF3">
        <f t="shared" si="1"/>
        <v>-0.68193666503723849</v>
      </c>
    </row>
    <row r="4" spans="1:32" x14ac:dyDescent="0.3">
      <c r="A4">
        <v>6</v>
      </c>
      <c r="B4">
        <v>0.373</v>
      </c>
      <c r="C4">
        <v>0.39100000000000001</v>
      </c>
      <c r="D4">
        <v>0.35499999999999998</v>
      </c>
      <c r="E4">
        <v>0.36299999999999999</v>
      </c>
      <c r="F4">
        <v>0.36599999999999999</v>
      </c>
      <c r="G4">
        <v>0.35099999999999998</v>
      </c>
      <c r="H4">
        <v>0.36199999999999999</v>
      </c>
      <c r="I4">
        <v>0.36199999999999999</v>
      </c>
      <c r="J4">
        <v>0.35799999999999998</v>
      </c>
      <c r="K4">
        <v>0.35799999999999998</v>
      </c>
      <c r="L4">
        <v>0.36399999999999999</v>
      </c>
      <c r="M4">
        <v>0.33700000000000002</v>
      </c>
      <c r="N4">
        <v>0.35499999999999998</v>
      </c>
      <c r="O4">
        <v>0.34100000000000003</v>
      </c>
      <c r="P4">
        <v>0.35</v>
      </c>
      <c r="R4">
        <v>6</v>
      </c>
      <c r="S4">
        <f t="shared" ref="S4:S12" si="2">LOG(B4)</f>
        <v>-0.42829116819131241</v>
      </c>
      <c r="T4">
        <f t="shared" ref="T4:T12" si="3">LOG(C4)</f>
        <v>-0.40782324260413316</v>
      </c>
      <c r="U4">
        <f t="shared" ref="U4:U12" si="4">LOG(D4)</f>
        <v>-0.44977164694490596</v>
      </c>
      <c r="V4">
        <f t="shared" ref="V4:V12" si="5">LOG(E4)</f>
        <v>-0.44009337496388751</v>
      </c>
      <c r="W4">
        <f t="shared" ref="W4:W12" si="6">LOG(F4)</f>
        <v>-0.43651891460558934</v>
      </c>
      <c r="X4">
        <f t="shared" ref="X4:X12" si="7">LOG(G4)</f>
        <v>-0.45469288353417592</v>
      </c>
      <c r="Y4">
        <f t="shared" ref="Y4:Y12" si="8">LOG(I4)</f>
        <v>-0.44129142946683431</v>
      </c>
      <c r="Z4">
        <f t="shared" ref="Z4:Z12" si="9">LOG(J4)</f>
        <v>-0.44611697335612566</v>
      </c>
      <c r="AA4">
        <f t="shared" ref="AA4:AA12" si="10">LOG(K4)</f>
        <v>-0.44611697335612566</v>
      </c>
      <c r="AB4">
        <f t="shared" ref="AB4:AB12" si="11">LOG(L4)</f>
        <v>-0.43889861635094402</v>
      </c>
      <c r="AC4">
        <f t="shared" ref="AC4:AC12" si="12">LOG(M4)</f>
        <v>-0.47237009912866135</v>
      </c>
      <c r="AD4">
        <f t="shared" ref="AD4:AD12" si="13">LOG(N4)</f>
        <v>-0.44977164694490596</v>
      </c>
      <c r="AE4">
        <f t="shared" ref="AE4:AE12" si="14">LOG(O4)</f>
        <v>-0.46724562100750222</v>
      </c>
      <c r="AF4">
        <f t="shared" ref="AF4:AF12" si="15">LOG(P4)</f>
        <v>-0.45593195564972439</v>
      </c>
    </row>
    <row r="5" spans="1:32" x14ac:dyDescent="0.3">
      <c r="A5">
        <v>9</v>
      </c>
      <c r="B5">
        <v>0.56100000000000005</v>
      </c>
      <c r="C5">
        <v>0.58699999999999997</v>
      </c>
      <c r="D5">
        <v>0.55200000000000005</v>
      </c>
      <c r="E5">
        <v>0.55300000000000005</v>
      </c>
      <c r="F5">
        <v>0.56999999999999995</v>
      </c>
      <c r="G5">
        <v>0.55200000000000005</v>
      </c>
      <c r="H5">
        <v>0.54800000000000004</v>
      </c>
      <c r="I5">
        <v>0.54100000000000004</v>
      </c>
      <c r="J5">
        <v>0.53500000000000003</v>
      </c>
      <c r="K5">
        <v>0.53500000000000003</v>
      </c>
      <c r="L5">
        <v>0.56399999999999995</v>
      </c>
      <c r="M5">
        <v>0.52100000000000002</v>
      </c>
      <c r="N5">
        <v>0.54200000000000004</v>
      </c>
      <c r="O5">
        <v>0.51500000000000001</v>
      </c>
      <c r="P5">
        <v>0.53100000000000003</v>
      </c>
      <c r="R5">
        <v>9</v>
      </c>
      <c r="S5">
        <f t="shared" si="2"/>
        <v>-0.25103713874383854</v>
      </c>
      <c r="T5">
        <f t="shared" si="3"/>
        <v>-0.23136189875238555</v>
      </c>
      <c r="U5">
        <f t="shared" si="4"/>
        <v>-0.25806092227080107</v>
      </c>
      <c r="V5">
        <f t="shared" si="5"/>
        <v>-0.25727486869530169</v>
      </c>
      <c r="W5">
        <f t="shared" si="6"/>
        <v>-0.24412514432750865</v>
      </c>
      <c r="X5">
        <f t="shared" si="7"/>
        <v>-0.25806092227080107</v>
      </c>
      <c r="Y5">
        <f t="shared" si="8"/>
        <v>-0.26680273489343054</v>
      </c>
      <c r="Z5">
        <f t="shared" si="9"/>
        <v>-0.27164621797877153</v>
      </c>
      <c r="AA5">
        <f t="shared" si="10"/>
        <v>-0.27164621797877153</v>
      </c>
      <c r="AB5">
        <f t="shared" si="11"/>
        <v>-0.24872089601665776</v>
      </c>
      <c r="AC5">
        <f t="shared" si="12"/>
        <v>-0.2831622767004755</v>
      </c>
      <c r="AD5">
        <f t="shared" si="13"/>
        <v>-0.26600071346161303</v>
      </c>
      <c r="AE5">
        <f t="shared" si="14"/>
        <v>-0.28819277095880896</v>
      </c>
      <c r="AF5">
        <f t="shared" si="15"/>
        <v>-0.2749054789185309</v>
      </c>
    </row>
    <row r="6" spans="1:32" x14ac:dyDescent="0.3">
      <c r="A6">
        <v>10</v>
      </c>
      <c r="B6">
        <v>0.71499999999999997</v>
      </c>
      <c r="C6">
        <v>0.72399999999999998</v>
      </c>
      <c r="D6">
        <v>0.70499999999999996</v>
      </c>
      <c r="E6">
        <v>0.70099999999999996</v>
      </c>
      <c r="F6">
        <v>0.71399999999999997</v>
      </c>
      <c r="G6">
        <v>0.68600000000000005</v>
      </c>
      <c r="H6">
        <v>0.70499999999999996</v>
      </c>
      <c r="I6">
        <v>0.67600000000000005</v>
      </c>
      <c r="J6">
        <v>0.67200000000000004</v>
      </c>
      <c r="K6">
        <v>0.67400000000000004</v>
      </c>
      <c r="L6">
        <v>0.65</v>
      </c>
      <c r="M6">
        <v>0.70799999999999996</v>
      </c>
      <c r="N6">
        <v>0.68400000000000005</v>
      </c>
      <c r="O6">
        <v>0.67200000000000004</v>
      </c>
      <c r="P6">
        <v>0.65100000000000002</v>
      </c>
      <c r="R6">
        <v>10</v>
      </c>
      <c r="S6">
        <f t="shared" si="2"/>
        <v>-0.14569395819891939</v>
      </c>
      <c r="T6">
        <f t="shared" si="3"/>
        <v>-0.14026143380285311</v>
      </c>
      <c r="U6">
        <f t="shared" si="4"/>
        <v>-0.15181088300860132</v>
      </c>
      <c r="V6">
        <f t="shared" si="5"/>
        <v>-0.15428198203334137</v>
      </c>
      <c r="W6">
        <f t="shared" si="6"/>
        <v>-0.14630178822382564</v>
      </c>
      <c r="X6">
        <f t="shared" si="7"/>
        <v>-0.16367588429324828</v>
      </c>
      <c r="Y6">
        <f t="shared" si="8"/>
        <v>-0.17005330405836405</v>
      </c>
      <c r="Z6">
        <f t="shared" si="9"/>
        <v>-0.17263072694617473</v>
      </c>
      <c r="AA6">
        <f t="shared" si="10"/>
        <v>-0.17134010346468015</v>
      </c>
      <c r="AB6">
        <f t="shared" si="11"/>
        <v>-0.18708664335714442</v>
      </c>
      <c r="AC6">
        <f t="shared" si="12"/>
        <v>-0.14996674231023099</v>
      </c>
      <c r="AD6">
        <f t="shared" si="13"/>
        <v>-0.16494389827988373</v>
      </c>
      <c r="AE6">
        <f t="shared" si="14"/>
        <v>-0.17263072694617473</v>
      </c>
      <c r="AF6">
        <f t="shared" si="15"/>
        <v>-0.18641901143180803</v>
      </c>
    </row>
    <row r="7" spans="1:32" x14ac:dyDescent="0.3">
      <c r="A7">
        <v>11</v>
      </c>
      <c r="B7">
        <v>0.82</v>
      </c>
      <c r="C7">
        <v>0.84099999999999997</v>
      </c>
      <c r="D7">
        <v>0.79900000000000004</v>
      </c>
      <c r="E7">
        <v>0.73399999999999999</v>
      </c>
      <c r="F7">
        <v>0.72599999999999998</v>
      </c>
      <c r="G7">
        <v>0.71499999999999997</v>
      </c>
      <c r="H7">
        <v>0.72599999999999998</v>
      </c>
      <c r="I7">
        <v>0.70799999999999996</v>
      </c>
      <c r="J7">
        <v>0.71899999999999997</v>
      </c>
      <c r="K7">
        <v>0.71</v>
      </c>
      <c r="L7">
        <v>0.73899999999999999</v>
      </c>
      <c r="M7">
        <v>0.69699999999999995</v>
      </c>
      <c r="N7">
        <v>0.71</v>
      </c>
      <c r="O7">
        <v>0.69799999999999995</v>
      </c>
      <c r="P7">
        <v>0.70799999999999996</v>
      </c>
      <c r="R7">
        <v>11</v>
      </c>
      <c r="S7">
        <f t="shared" si="2"/>
        <v>-8.6186147616283335E-2</v>
      </c>
      <c r="T7">
        <f t="shared" si="3"/>
        <v>-7.5204004202087837E-2</v>
      </c>
      <c r="U7">
        <f t="shared" si="4"/>
        <v>-9.745322068600859E-2</v>
      </c>
      <c r="V7">
        <f t="shared" si="5"/>
        <v>-0.13430394008392949</v>
      </c>
      <c r="W7">
        <f t="shared" si="6"/>
        <v>-0.13906337929990631</v>
      </c>
      <c r="X7">
        <f t="shared" si="7"/>
        <v>-0.14569395819891939</v>
      </c>
      <c r="Y7">
        <f t="shared" si="8"/>
        <v>-0.14996674231023099</v>
      </c>
      <c r="Z7">
        <f t="shared" si="9"/>
        <v>-0.14327110961711742</v>
      </c>
      <c r="AA7">
        <f t="shared" si="10"/>
        <v>-0.14874165128092473</v>
      </c>
      <c r="AB7">
        <f t="shared" si="11"/>
        <v>-0.13135556160517428</v>
      </c>
      <c r="AC7">
        <f t="shared" si="12"/>
        <v>-0.15676722190199061</v>
      </c>
      <c r="AD7">
        <f t="shared" si="13"/>
        <v>-0.14874165128092473</v>
      </c>
      <c r="AE7">
        <f t="shared" si="14"/>
        <v>-0.15614457737683893</v>
      </c>
      <c r="AF7">
        <f t="shared" si="15"/>
        <v>-0.14996674231023099</v>
      </c>
    </row>
    <row r="8" spans="1:32" x14ac:dyDescent="0.3">
      <c r="A8">
        <v>12</v>
      </c>
      <c r="B8">
        <v>0.94499999999999995</v>
      </c>
      <c r="C8">
        <v>0.98099999999999998</v>
      </c>
      <c r="D8">
        <v>0.94099999999999995</v>
      </c>
      <c r="E8">
        <v>0.73</v>
      </c>
      <c r="F8">
        <v>0.73199999999999998</v>
      </c>
      <c r="G8">
        <v>0.72099999999999997</v>
      </c>
      <c r="H8">
        <v>0.70599999999999996</v>
      </c>
      <c r="I8">
        <v>0.71799999999999997</v>
      </c>
      <c r="J8">
        <v>0.70399999999999996</v>
      </c>
      <c r="K8">
        <v>0.69799999999999995</v>
      </c>
      <c r="L8">
        <v>0.69199999999999995</v>
      </c>
      <c r="M8">
        <v>0.71799999999999997</v>
      </c>
      <c r="N8">
        <v>0.72199999999999998</v>
      </c>
      <c r="O8">
        <v>0.69599999999999995</v>
      </c>
      <c r="P8">
        <v>0.7</v>
      </c>
      <c r="R8">
        <v>12</v>
      </c>
      <c r="S8">
        <f t="shared" si="2"/>
        <v>-2.4568191490737076E-2</v>
      </c>
      <c r="T8">
        <f t="shared" si="3"/>
        <v>-8.3309926200514969E-3</v>
      </c>
      <c r="U8">
        <f t="shared" si="4"/>
        <v>-2.6410376572743116E-2</v>
      </c>
      <c r="V8">
        <f t="shared" si="5"/>
        <v>-0.13667713987954411</v>
      </c>
      <c r="W8">
        <f t="shared" si="6"/>
        <v>-0.13548891894160814</v>
      </c>
      <c r="X8">
        <f t="shared" si="7"/>
        <v>-0.14206473528057098</v>
      </c>
      <c r="Y8">
        <f t="shared" si="8"/>
        <v>-0.14387555575769967</v>
      </c>
      <c r="Z8">
        <f t="shared" si="9"/>
        <v>-0.15242734085788781</v>
      </c>
      <c r="AA8">
        <f t="shared" si="10"/>
        <v>-0.15614457737683893</v>
      </c>
      <c r="AB8">
        <f t="shared" si="11"/>
        <v>-0.15989390554324223</v>
      </c>
      <c r="AC8">
        <f t="shared" si="12"/>
        <v>-0.14387555575769967</v>
      </c>
      <c r="AD8">
        <f t="shared" si="13"/>
        <v>-0.14146280243036088</v>
      </c>
      <c r="AE8">
        <f t="shared" si="14"/>
        <v>-0.15739076038943792</v>
      </c>
      <c r="AF8">
        <f t="shared" si="15"/>
        <v>-0.15490195998574319</v>
      </c>
    </row>
    <row r="9" spans="1:32" x14ac:dyDescent="0.3">
      <c r="A9">
        <v>13</v>
      </c>
      <c r="B9">
        <v>1.081</v>
      </c>
      <c r="C9">
        <v>1.093</v>
      </c>
      <c r="D9">
        <v>1.0669999999999999</v>
      </c>
      <c r="E9">
        <v>0.76900000000000002</v>
      </c>
      <c r="F9">
        <v>0.77800000000000002</v>
      </c>
      <c r="G9">
        <v>0.76800000000000002</v>
      </c>
      <c r="I9">
        <v>0.76900000000000002</v>
      </c>
      <c r="J9">
        <v>0.753</v>
      </c>
      <c r="K9">
        <v>0.71099999999999997</v>
      </c>
      <c r="L9">
        <v>0.80300000000000005</v>
      </c>
      <c r="M9">
        <v>0.72299999999999998</v>
      </c>
      <c r="N9">
        <v>0.70199999999999996</v>
      </c>
      <c r="O9">
        <v>0.71299999999999997</v>
      </c>
      <c r="P9">
        <v>0.69599999999999995</v>
      </c>
      <c r="R9">
        <v>13</v>
      </c>
      <c r="S9">
        <f t="shared" si="2"/>
        <v>3.382569395331033E-2</v>
      </c>
      <c r="T9">
        <f t="shared" si="3"/>
        <v>3.8620161949702782E-2</v>
      </c>
      <c r="U9">
        <f t="shared" si="4"/>
        <v>2.8164419424469872E-2</v>
      </c>
      <c r="V9">
        <f t="shared" si="5"/>
        <v>-0.11407366019856895</v>
      </c>
      <c r="W9">
        <f t="shared" si="6"/>
        <v>-0.10902040301031106</v>
      </c>
      <c r="X9">
        <f t="shared" si="7"/>
        <v>-0.11463877996848799</v>
      </c>
      <c r="Y9">
        <f t="shared" si="8"/>
        <v>-0.11407366019856895</v>
      </c>
      <c r="Z9">
        <f t="shared" si="9"/>
        <v>-0.12320502379929942</v>
      </c>
      <c r="AA9">
        <f t="shared" si="10"/>
        <v>-0.14813039927023372</v>
      </c>
      <c r="AB9">
        <f t="shared" si="11"/>
        <v>-9.5284454721319037E-2</v>
      </c>
      <c r="AC9">
        <f t="shared" si="12"/>
        <v>-0.14086170270546919</v>
      </c>
      <c r="AD9">
        <f t="shared" si="13"/>
        <v>-0.15366288787019475</v>
      </c>
      <c r="AE9">
        <f t="shared" si="14"/>
        <v>-0.14691047014813446</v>
      </c>
      <c r="AF9">
        <f t="shared" si="15"/>
        <v>-0.15739076038943792</v>
      </c>
    </row>
    <row r="10" spans="1:32" x14ac:dyDescent="0.3">
      <c r="A10">
        <v>14</v>
      </c>
      <c r="B10">
        <v>1.2130000000000001</v>
      </c>
      <c r="C10">
        <v>1.2330000000000001</v>
      </c>
      <c r="D10">
        <v>1.1950000000000001</v>
      </c>
      <c r="E10">
        <v>0.86199999999999999</v>
      </c>
      <c r="F10">
        <v>0.85699999999999998</v>
      </c>
      <c r="G10">
        <v>0.82299999999999995</v>
      </c>
      <c r="I10">
        <v>0.85899999999999999</v>
      </c>
      <c r="J10">
        <v>0.82399999999999995</v>
      </c>
      <c r="K10">
        <v>0.77200000000000002</v>
      </c>
      <c r="L10">
        <v>0.84</v>
      </c>
      <c r="M10">
        <v>0.79900000000000004</v>
      </c>
      <c r="N10">
        <v>0.754</v>
      </c>
      <c r="O10">
        <v>0.78900000000000003</v>
      </c>
      <c r="P10">
        <v>0.747</v>
      </c>
      <c r="R10">
        <v>14</v>
      </c>
      <c r="S10">
        <f t="shared" si="2"/>
        <v>8.3860800866573007E-2</v>
      </c>
      <c r="T10">
        <f t="shared" si="3"/>
        <v>9.0963076595731676E-2</v>
      </c>
      <c r="U10">
        <f t="shared" si="4"/>
        <v>7.7367905284156518E-2</v>
      </c>
      <c r="V10">
        <f t="shared" si="5"/>
        <v>-6.4492734175287211E-2</v>
      </c>
      <c r="W10">
        <f t="shared" si="6"/>
        <v>-6.7019178076801841E-2</v>
      </c>
      <c r="X10">
        <f t="shared" si="7"/>
        <v>-8.4600164787730178E-2</v>
      </c>
      <c r="Y10">
        <f t="shared" si="8"/>
        <v>-6.6006836168757702E-2</v>
      </c>
      <c r="Z10">
        <f t="shared" si="9"/>
        <v>-8.4072788302884227E-2</v>
      </c>
      <c r="AA10">
        <f t="shared" si="10"/>
        <v>-0.11238269966426384</v>
      </c>
      <c r="AB10">
        <f t="shared" si="11"/>
        <v>-7.5720713938118356E-2</v>
      </c>
      <c r="AC10">
        <f t="shared" si="12"/>
        <v>-9.745322068600859E-2</v>
      </c>
      <c r="AD10">
        <f t="shared" si="13"/>
        <v>-0.12262865413022594</v>
      </c>
      <c r="AE10">
        <f t="shared" si="14"/>
        <v>-0.10292299679057967</v>
      </c>
      <c r="AF10">
        <f t="shared" si="15"/>
        <v>-0.12667939818460122</v>
      </c>
    </row>
    <row r="11" spans="1:32" x14ac:dyDescent="0.3">
      <c r="A11">
        <v>15</v>
      </c>
      <c r="B11">
        <v>1.302</v>
      </c>
      <c r="C11">
        <v>1.2949999999999999</v>
      </c>
      <c r="D11">
        <v>1.266</v>
      </c>
      <c r="E11">
        <v>0.91600000000000004</v>
      </c>
      <c r="F11">
        <v>0.89600000000000002</v>
      </c>
      <c r="G11">
        <v>0.88600000000000001</v>
      </c>
      <c r="I11">
        <v>0.877</v>
      </c>
      <c r="J11">
        <v>0.89900000000000002</v>
      </c>
      <c r="K11">
        <v>0.84799999999999998</v>
      </c>
      <c r="L11">
        <v>0.91400000000000003</v>
      </c>
      <c r="M11">
        <v>0.879</v>
      </c>
      <c r="N11">
        <v>0.81499999999999995</v>
      </c>
      <c r="O11">
        <v>0.85699999999999998</v>
      </c>
      <c r="P11">
        <v>0.79500000000000004</v>
      </c>
      <c r="R11">
        <v>15</v>
      </c>
      <c r="S11">
        <f t="shared" si="2"/>
        <v>0.11461098423217315</v>
      </c>
      <c r="T11">
        <f t="shared" si="3"/>
        <v>0.11226976841727061</v>
      </c>
      <c r="U11">
        <f t="shared" si="4"/>
        <v>0.10243370568133631</v>
      </c>
      <c r="V11">
        <f t="shared" si="5"/>
        <v>-3.8104526332149599E-2</v>
      </c>
      <c r="W11">
        <f t="shared" si="6"/>
        <v>-4.7691990337874794E-2</v>
      </c>
      <c r="X11">
        <f t="shared" si="7"/>
        <v>-5.2566278112949241E-2</v>
      </c>
      <c r="Y11">
        <f t="shared" si="8"/>
        <v>-5.7000406633959479E-2</v>
      </c>
      <c r="Z11">
        <f t="shared" si="9"/>
        <v>-4.6240308266771224E-2</v>
      </c>
      <c r="AA11">
        <f t="shared" si="10"/>
        <v>-7.1604147743286189E-2</v>
      </c>
      <c r="AB11">
        <f t="shared" si="11"/>
        <v>-3.9053804266168564E-2</v>
      </c>
      <c r="AC11">
        <f t="shared" si="12"/>
        <v>-5.6011124926228104E-2</v>
      </c>
      <c r="AD11">
        <f t="shared" si="13"/>
        <v>-8.8842391260023412E-2</v>
      </c>
      <c r="AE11">
        <f t="shared" si="14"/>
        <v>-6.7019178076801841E-2</v>
      </c>
      <c r="AF11">
        <f t="shared" si="15"/>
        <v>-9.9632871343529689E-2</v>
      </c>
    </row>
    <row r="12" spans="1:32" x14ac:dyDescent="0.3">
      <c r="A12">
        <v>16</v>
      </c>
      <c r="B12">
        <v>1.417</v>
      </c>
      <c r="C12">
        <v>1.4630000000000001</v>
      </c>
      <c r="D12">
        <v>1.3919999999999999</v>
      </c>
      <c r="E12">
        <v>0.99099999999999999</v>
      </c>
      <c r="F12">
        <v>0.98599999999999999</v>
      </c>
      <c r="G12">
        <v>0.94699999999999995</v>
      </c>
      <c r="I12">
        <v>1.024</v>
      </c>
      <c r="J12">
        <v>0.92500000000000004</v>
      </c>
      <c r="K12">
        <v>0.91200000000000003</v>
      </c>
      <c r="L12">
        <v>0.98099999999999998</v>
      </c>
      <c r="M12">
        <v>0.96699999999999997</v>
      </c>
      <c r="N12">
        <v>0.83699999999999997</v>
      </c>
      <c r="O12">
        <v>0.88200000000000001</v>
      </c>
      <c r="P12">
        <v>0.82199999999999995</v>
      </c>
      <c r="R12">
        <v>16</v>
      </c>
      <c r="S12">
        <f t="shared" si="2"/>
        <v>0.15136985024746041</v>
      </c>
      <c r="T12">
        <f t="shared" si="3"/>
        <v>0.16524432612531087</v>
      </c>
      <c r="U12">
        <f t="shared" si="4"/>
        <v>0.14363923527454328</v>
      </c>
      <c r="V12">
        <f t="shared" si="5"/>
        <v>-3.9263455147246756E-3</v>
      </c>
      <c r="W12">
        <f t="shared" si="6"/>
        <v>-6.1230850587887945E-3</v>
      </c>
      <c r="X12">
        <f t="shared" si="7"/>
        <v>-2.3650020996726601E-2</v>
      </c>
      <c r="Y12">
        <f t="shared" si="8"/>
        <v>1.0299956639811961E-2</v>
      </c>
      <c r="Z12">
        <f t="shared" si="9"/>
        <v>-3.385826726096737E-2</v>
      </c>
      <c r="AA12">
        <f t="shared" si="10"/>
        <v>-4.0005161671583807E-2</v>
      </c>
      <c r="AB12">
        <f t="shared" si="11"/>
        <v>-8.3309926200514969E-3</v>
      </c>
      <c r="AC12">
        <f t="shared" si="12"/>
        <v>-1.4573525916998339E-2</v>
      </c>
      <c r="AD12">
        <f t="shared" si="13"/>
        <v>-7.7274542006740027E-2</v>
      </c>
      <c r="AE12">
        <f t="shared" si="14"/>
        <v>-5.4531414868180264E-2</v>
      </c>
      <c r="AF12">
        <f t="shared" si="15"/>
        <v>-8.5128182459949631E-2</v>
      </c>
    </row>
    <row r="13" spans="1:32" x14ac:dyDescent="0.3">
      <c r="A13">
        <v>17</v>
      </c>
    </row>
    <row r="14" spans="1:32" x14ac:dyDescent="0.3">
      <c r="A14">
        <v>18</v>
      </c>
    </row>
    <row r="15" spans="1:32" x14ac:dyDescent="0.3">
      <c r="A15">
        <v>19</v>
      </c>
      <c r="R15" t="s">
        <v>0</v>
      </c>
      <c r="S15" t="s">
        <v>16</v>
      </c>
      <c r="T15" t="s">
        <v>17</v>
      </c>
      <c r="U15" t="s">
        <v>18</v>
      </c>
      <c r="V15" t="s">
        <v>19</v>
      </c>
      <c r="W15" t="s">
        <v>20</v>
      </c>
      <c r="Y15" t="s">
        <v>16</v>
      </c>
      <c r="Z15" t="s">
        <v>17</v>
      </c>
      <c r="AA15" t="s">
        <v>18</v>
      </c>
      <c r="AB15" t="s">
        <v>19</v>
      </c>
      <c r="AC15" t="s">
        <v>20</v>
      </c>
    </row>
    <row r="16" spans="1:32" x14ac:dyDescent="0.3">
      <c r="A16">
        <v>20</v>
      </c>
      <c r="R16">
        <v>0</v>
      </c>
      <c r="S16">
        <f>AVERAGE(S2:U2)</f>
        <v>-0.82390874094431876</v>
      </c>
      <c r="T16">
        <f>AVERAGE(V2:X2)</f>
        <v>-0.82390874094431876</v>
      </c>
      <c r="U16">
        <f>AVERAGE(Y2:Z2)</f>
        <v>-0.82390874094431876</v>
      </c>
      <c r="V16">
        <f>AVERAGE(AA2:AC2)</f>
        <v>-0.82390874094431876</v>
      </c>
      <c r="W16">
        <f>AVERAGE(AD2:AF2)</f>
        <v>-0.82390874094431876</v>
      </c>
      <c r="Y16">
        <f>_xlfn.STDEV.P(S2:U2)</f>
        <v>0</v>
      </c>
      <c r="Z16">
        <f>_xlfn.STDEV.P(V2:X2)</f>
        <v>0</v>
      </c>
      <c r="AA16">
        <f>_xlfn.STDEV.P(Y2:Z2)</f>
        <v>0</v>
      </c>
      <c r="AB16">
        <f>_xlfn.STDEV.P(AA2:AC2)</f>
        <v>0</v>
      </c>
      <c r="AC16">
        <f>_xlfn.STDEV.P(AD2:AF2)</f>
        <v>0</v>
      </c>
    </row>
    <row r="17" spans="1:29" x14ac:dyDescent="0.3">
      <c r="A17">
        <v>21</v>
      </c>
      <c r="R17">
        <v>3</v>
      </c>
      <c r="S17">
        <f>AVERAGE(S3:U3)</f>
        <v>-0.67625511850449571</v>
      </c>
      <c r="T17">
        <f t="shared" ref="T17:T26" si="16">AVERAGE(V3:X3)</f>
        <v>-0.67920229669368493</v>
      </c>
      <c r="U17">
        <f>AVERAGE(Y3:Z3)</f>
        <v>-0.67390101205206365</v>
      </c>
      <c r="V17">
        <f>AVERAGE(AA3:AC3)</f>
        <v>-0.67742792242233163</v>
      </c>
      <c r="W17">
        <f>AVERAGE(AD3:AF3)</f>
        <v>-0.68267468077121574</v>
      </c>
      <c r="Y17">
        <f>_xlfn.STDEV.P(S3:U3)</f>
        <v>2.1487947818165001E-2</v>
      </c>
      <c r="Z17">
        <f>_xlfn.STDEV.P(V3:X3)</f>
        <v>5.9425344683505191E-3</v>
      </c>
      <c r="AA17">
        <f>_xlfn.STDEV.P(Y3:Z3)</f>
        <v>1.4345126892182036E-2</v>
      </c>
      <c r="AB17">
        <f>_xlfn.STDEV.P(AA3:AC3)</f>
        <v>1.7015606239251035E-2</v>
      </c>
      <c r="AC17">
        <f>_xlfn.STDEV.P(AD3:AF3)</f>
        <v>6.0044919511522202E-3</v>
      </c>
    </row>
    <row r="18" spans="1:29" x14ac:dyDescent="0.3">
      <c r="R18">
        <v>6</v>
      </c>
      <c r="S18">
        <f t="shared" ref="S18:S26" si="17">AVERAGE(S4:U4)</f>
        <v>-0.42862868591345049</v>
      </c>
      <c r="T18">
        <f t="shared" si="16"/>
        <v>-0.4437683910345509</v>
      </c>
      <c r="U18">
        <f t="shared" ref="U18:U26" si="18">AVERAGE(Y4:Z4)</f>
        <v>-0.44370420141147998</v>
      </c>
      <c r="V18">
        <f t="shared" ref="V18:V26" si="19">AVERAGE(AA4:AC4)</f>
        <v>-0.45246189627857697</v>
      </c>
      <c r="W18">
        <f t="shared" ref="W18:W26" si="20">AVERAGE(AD4:AF4)</f>
        <v>-0.45764974120071084</v>
      </c>
      <c r="Y18">
        <f t="shared" ref="Y18:Y26" si="21">_xlfn.STDEV.P(S4:U4)</f>
        <v>1.7127027283289402E-2</v>
      </c>
      <c r="Z18">
        <f t="shared" ref="Z18:Z26" si="22">_xlfn.STDEV.P(V4:X4)</f>
        <v>7.8614075921145058E-3</v>
      </c>
      <c r="AA18">
        <f t="shared" ref="AA18:AA26" si="23">_xlfn.STDEV.P(Y4:Z4)</f>
        <v>2.4127719446456752E-3</v>
      </c>
      <c r="AB18">
        <f t="shared" ref="AB18:AB26" si="24">_xlfn.STDEV.P(AA4:AC4)</f>
        <v>1.4382363621316292E-2</v>
      </c>
      <c r="AC18">
        <f t="shared" ref="AC18:AC26" si="25">_xlfn.STDEV.P(AD4:AF4)</f>
        <v>7.2363910334943046E-3</v>
      </c>
    </row>
    <row r="19" spans="1:29" x14ac:dyDescent="0.3">
      <c r="R19">
        <v>9</v>
      </c>
      <c r="S19">
        <f t="shared" si="17"/>
        <v>-0.24681998658900839</v>
      </c>
      <c r="T19">
        <f t="shared" si="16"/>
        <v>-0.25315364509787047</v>
      </c>
      <c r="U19">
        <f t="shared" si="18"/>
        <v>-0.26922447643610103</v>
      </c>
      <c r="V19">
        <f t="shared" si="19"/>
        <v>-0.26784313023196832</v>
      </c>
      <c r="W19">
        <f t="shared" si="20"/>
        <v>-0.27636632111298426</v>
      </c>
      <c r="Y19">
        <f t="shared" si="21"/>
        <v>1.1300375906194971E-2</v>
      </c>
      <c r="Z19">
        <f t="shared" si="22"/>
        <v>6.3921743653839154E-3</v>
      </c>
      <c r="AA19">
        <f t="shared" si="23"/>
        <v>2.4217415426704969E-3</v>
      </c>
      <c r="AB19">
        <f t="shared" si="24"/>
        <v>1.4315487723891384E-2</v>
      </c>
      <c r="AC19">
        <f t="shared" si="25"/>
        <v>9.118567099697706E-3</v>
      </c>
    </row>
    <row r="20" spans="1:29" x14ac:dyDescent="0.3">
      <c r="R20">
        <v>10</v>
      </c>
      <c r="S20">
        <f t="shared" si="17"/>
        <v>-0.1459220916701246</v>
      </c>
      <c r="T20">
        <f t="shared" si="16"/>
        <v>-0.15475321818347176</v>
      </c>
      <c r="U20">
        <f t="shared" si="18"/>
        <v>-0.17134201550226941</v>
      </c>
      <c r="V20">
        <f t="shared" si="19"/>
        <v>-0.16946449637735186</v>
      </c>
      <c r="W20">
        <f t="shared" si="20"/>
        <v>-0.17466454555262215</v>
      </c>
      <c r="Y20">
        <f t="shared" si="21"/>
        <v>4.7178015995837591E-3</v>
      </c>
      <c r="Z20">
        <f t="shared" si="22"/>
        <v>7.1007676199724631E-3</v>
      </c>
      <c r="AA20">
        <f t="shared" si="23"/>
        <v>1.288711443905341E-3</v>
      </c>
      <c r="AB20">
        <f t="shared" si="24"/>
        <v>1.5212060782871996E-2</v>
      </c>
      <c r="AC20">
        <f t="shared" si="25"/>
        <v>8.8843470896829476E-3</v>
      </c>
    </row>
    <row r="21" spans="1:29" x14ac:dyDescent="0.3">
      <c r="R21">
        <v>11</v>
      </c>
      <c r="S21">
        <f t="shared" si="17"/>
        <v>-8.6281124168126597E-2</v>
      </c>
      <c r="T21">
        <f t="shared" si="16"/>
        <v>-0.13968709252758507</v>
      </c>
      <c r="U21">
        <f t="shared" si="18"/>
        <v>-0.14661892596367421</v>
      </c>
      <c r="V21">
        <f t="shared" si="19"/>
        <v>-0.14562147826269653</v>
      </c>
      <c r="W21">
        <f t="shared" si="20"/>
        <v>-0.15161765698933155</v>
      </c>
      <c r="Y21">
        <f t="shared" si="21"/>
        <v>9.083452865738622E-3</v>
      </c>
      <c r="Z21">
        <f t="shared" si="22"/>
        <v>4.6708237537387808E-3</v>
      </c>
      <c r="AA21">
        <f t="shared" si="23"/>
        <v>3.3478163465567867E-3</v>
      </c>
      <c r="AB21">
        <f t="shared" si="24"/>
        <v>1.0606278942461621E-2</v>
      </c>
      <c r="AC21">
        <f t="shared" si="25"/>
        <v>3.2398526873552063E-3</v>
      </c>
    </row>
    <row r="22" spans="1:29" x14ac:dyDescent="0.3">
      <c r="R22">
        <v>12</v>
      </c>
      <c r="S22">
        <f t="shared" si="17"/>
        <v>-1.976985356117723E-2</v>
      </c>
      <c r="T22">
        <f t="shared" si="16"/>
        <v>-0.13807693136724108</v>
      </c>
      <c r="U22">
        <f t="shared" si="18"/>
        <v>-0.14815144830779375</v>
      </c>
      <c r="V22">
        <f t="shared" si="19"/>
        <v>-0.15330467955926028</v>
      </c>
      <c r="W22">
        <f t="shared" si="20"/>
        <v>-0.15125184093518065</v>
      </c>
      <c r="Y22">
        <f t="shared" si="21"/>
        <v>8.1233846062627648E-3</v>
      </c>
      <c r="Z22">
        <f t="shared" si="22"/>
        <v>2.8612237810319717E-3</v>
      </c>
      <c r="AA22">
        <f t="shared" si="23"/>
        <v>4.2758925500940709E-3</v>
      </c>
      <c r="AB22">
        <f t="shared" si="24"/>
        <v>6.8408404539069059E-3</v>
      </c>
      <c r="AC22">
        <f t="shared" si="25"/>
        <v>6.9960697537494081E-3</v>
      </c>
    </row>
    <row r="23" spans="1:29" x14ac:dyDescent="0.3">
      <c r="R23">
        <v>13</v>
      </c>
      <c r="S23">
        <f t="shared" si="17"/>
        <v>3.3536758442494326E-2</v>
      </c>
      <c r="T23">
        <f t="shared" si="16"/>
        <v>-0.112577614392456</v>
      </c>
      <c r="U23">
        <f t="shared" si="18"/>
        <v>-0.11863934199893418</v>
      </c>
      <c r="V23">
        <f t="shared" si="19"/>
        <v>-0.128092185565674</v>
      </c>
      <c r="W23">
        <f t="shared" si="20"/>
        <v>-0.15265470613592236</v>
      </c>
      <c r="Y23">
        <f t="shared" si="21"/>
        <v>4.2734256934024916E-3</v>
      </c>
      <c r="Z23">
        <f t="shared" si="22"/>
        <v>2.5258866036218489E-3</v>
      </c>
      <c r="AA23">
        <f t="shared" si="23"/>
        <v>4.5656818003652344E-3</v>
      </c>
      <c r="AB23">
        <f t="shared" si="24"/>
        <v>2.3387587730879573E-2</v>
      </c>
      <c r="AC23">
        <f t="shared" si="25"/>
        <v>4.3375449040888268E-3</v>
      </c>
    </row>
    <row r="24" spans="1:29" x14ac:dyDescent="0.3">
      <c r="R24">
        <v>14</v>
      </c>
      <c r="S24">
        <f t="shared" si="17"/>
        <v>8.4063927582153739E-2</v>
      </c>
      <c r="T24">
        <f t="shared" si="16"/>
        <v>-7.2037359013273072E-2</v>
      </c>
      <c r="U24">
        <f t="shared" si="18"/>
        <v>-7.5039812235820957E-2</v>
      </c>
      <c r="V24">
        <f t="shared" si="19"/>
        <v>-9.5185544762796934E-2</v>
      </c>
      <c r="W24">
        <f t="shared" si="20"/>
        <v>-0.11741034970180227</v>
      </c>
      <c r="Y24">
        <f t="shared" si="21"/>
        <v>5.5520636460512597E-3</v>
      </c>
      <c r="Z24">
        <f t="shared" si="22"/>
        <v>8.942922579407939E-3</v>
      </c>
      <c r="AA24">
        <f t="shared" si="23"/>
        <v>9.0329760670633322E-3</v>
      </c>
      <c r="AB24">
        <f t="shared" si="24"/>
        <v>1.5052841701055624E-2</v>
      </c>
      <c r="AC24">
        <f t="shared" si="25"/>
        <v>1.0376726446853611E-2</v>
      </c>
    </row>
    <row r="25" spans="1:29" x14ac:dyDescent="0.3">
      <c r="R25">
        <v>15</v>
      </c>
      <c r="S25">
        <f t="shared" si="17"/>
        <v>0.10977148611026004</v>
      </c>
      <c r="T25">
        <f t="shared" si="16"/>
        <v>-4.6120931594324545E-2</v>
      </c>
      <c r="U25">
        <f t="shared" si="18"/>
        <v>-5.1620357450365348E-2</v>
      </c>
      <c r="V25">
        <f t="shared" si="19"/>
        <v>-5.5556358978560948E-2</v>
      </c>
      <c r="W25">
        <f t="shared" si="20"/>
        <v>-8.5164813560118333E-2</v>
      </c>
      <c r="Y25">
        <f t="shared" si="21"/>
        <v>5.275894179524415E-3</v>
      </c>
      <c r="Z25">
        <f t="shared" si="22"/>
        <v>6.0075916041915757E-3</v>
      </c>
      <c r="AA25">
        <f t="shared" si="23"/>
        <v>5.3800491835941273E-3</v>
      </c>
      <c r="AB25">
        <f t="shared" si="24"/>
        <v>1.3292512282483283E-2</v>
      </c>
      <c r="AC25">
        <f t="shared" si="25"/>
        <v>1.3566052740282221E-2</v>
      </c>
    </row>
    <row r="26" spans="1:29" x14ac:dyDescent="0.3">
      <c r="R26">
        <v>16</v>
      </c>
      <c r="S26">
        <f t="shared" si="17"/>
        <v>0.1534178038824382</v>
      </c>
      <c r="T26">
        <f t="shared" si="16"/>
        <v>-1.1233150523413357E-2</v>
      </c>
      <c r="U26">
        <f t="shared" si="18"/>
        <v>-1.1779155310577705E-2</v>
      </c>
      <c r="V26">
        <f t="shared" si="19"/>
        <v>-2.0969893402877884E-2</v>
      </c>
      <c r="W26">
        <f t="shared" si="20"/>
        <v>-7.2311379778289983E-2</v>
      </c>
      <c r="Y26">
        <f t="shared" si="21"/>
        <v>8.9383284505827054E-3</v>
      </c>
      <c r="Z26">
        <f t="shared" si="22"/>
        <v>8.8257358680694908E-3</v>
      </c>
      <c r="AA26">
        <f t="shared" si="23"/>
        <v>2.2079111950389668E-2</v>
      </c>
      <c r="AB26">
        <f t="shared" si="24"/>
        <v>1.3699109071689652E-2</v>
      </c>
      <c r="AC26">
        <f t="shared" si="25"/>
        <v>1.2974726233351289E-2</v>
      </c>
    </row>
    <row r="31" spans="1:29" x14ac:dyDescent="0.3">
      <c r="R31" t="s">
        <v>0</v>
      </c>
      <c r="S31" t="s">
        <v>21</v>
      </c>
      <c r="T31" t="s">
        <v>22</v>
      </c>
      <c r="U31" t="s">
        <v>23</v>
      </c>
      <c r="V31" t="s">
        <v>24</v>
      </c>
      <c r="W31" t="s">
        <v>25</v>
      </c>
    </row>
    <row r="32" spans="1:29" x14ac:dyDescent="0.3">
      <c r="R32">
        <v>0</v>
      </c>
      <c r="S32">
        <v>-0.82390874094431876</v>
      </c>
      <c r="T32">
        <v>-0.82390874094431876</v>
      </c>
      <c r="U32" t="s">
        <v>26</v>
      </c>
      <c r="V32">
        <v>-0.82390874094431876</v>
      </c>
      <c r="W32">
        <v>-0.82390874094431876</v>
      </c>
    </row>
    <row r="33" spans="18:23" x14ac:dyDescent="0.3">
      <c r="R33">
        <v>3</v>
      </c>
      <c r="S33">
        <v>-0.69250396208678711</v>
      </c>
      <c r="T33">
        <v>-0.68613277963084662</v>
      </c>
      <c r="U33" t="s">
        <v>26</v>
      </c>
      <c r="V33">
        <v>-0.68613277963084662</v>
      </c>
      <c r="W33">
        <v>-0.67571754470230738</v>
      </c>
    </row>
    <row r="34" spans="18:23" x14ac:dyDescent="0.3">
      <c r="R34">
        <v>6</v>
      </c>
      <c r="S34">
        <v>-0.42829116819131241</v>
      </c>
      <c r="T34">
        <v>-0.44009337496388751</v>
      </c>
      <c r="U34" t="s">
        <v>26</v>
      </c>
      <c r="V34">
        <v>-0.44611697335612566</v>
      </c>
      <c r="W34">
        <v>-0.44977164694490596</v>
      </c>
    </row>
    <row r="35" spans="18:23" x14ac:dyDescent="0.3">
      <c r="R35">
        <v>9</v>
      </c>
      <c r="S35">
        <v>-0.25103713874383854</v>
      </c>
      <c r="T35">
        <v>-0.25727486869530169</v>
      </c>
      <c r="U35" t="s">
        <v>26</v>
      </c>
      <c r="V35">
        <v>-0.27164621797877153</v>
      </c>
      <c r="W35">
        <v>-0.26600071346161303</v>
      </c>
    </row>
    <row r="36" spans="18:23" x14ac:dyDescent="0.3">
      <c r="R36">
        <v>10</v>
      </c>
      <c r="S36">
        <v>-0.14569395819891939</v>
      </c>
      <c r="T36">
        <v>-0.15428198203334137</v>
      </c>
      <c r="U36" t="s">
        <v>26</v>
      </c>
      <c r="V36">
        <v>-0.17134010346468015</v>
      </c>
      <c r="W36">
        <v>-0.16494389827988373</v>
      </c>
    </row>
    <row r="37" spans="18:23" x14ac:dyDescent="0.3">
      <c r="R37">
        <v>11</v>
      </c>
      <c r="S37">
        <v>-8.6186147616283335E-2</v>
      </c>
      <c r="T37">
        <v>-0.13430394008392949</v>
      </c>
      <c r="U37" t="s">
        <v>26</v>
      </c>
      <c r="V37">
        <v>-0.14874165128092473</v>
      </c>
      <c r="W37">
        <v>-0.14874165128092473</v>
      </c>
    </row>
    <row r="38" spans="18:23" x14ac:dyDescent="0.3">
      <c r="R38">
        <v>12</v>
      </c>
      <c r="S38">
        <v>-2.4568191490737076E-2</v>
      </c>
      <c r="T38">
        <v>-0.13667713987954411</v>
      </c>
      <c r="U38" t="s">
        <v>26</v>
      </c>
      <c r="V38">
        <v>-0.15614457737683893</v>
      </c>
      <c r="W38">
        <v>-0.14146280243036088</v>
      </c>
    </row>
    <row r="39" spans="18:23" x14ac:dyDescent="0.3">
      <c r="R39">
        <v>13</v>
      </c>
      <c r="S39">
        <v>3.382569395331033E-2</v>
      </c>
      <c r="T39">
        <v>-0.11407366019856895</v>
      </c>
      <c r="U39" t="s">
        <v>26</v>
      </c>
      <c r="V39">
        <v>-0.14813039927023372</v>
      </c>
      <c r="W39">
        <v>-0.15366288787019475</v>
      </c>
    </row>
    <row r="40" spans="18:23" x14ac:dyDescent="0.3">
      <c r="R40">
        <v>14</v>
      </c>
      <c r="S40">
        <v>8.3860800866573007E-2</v>
      </c>
      <c r="T40">
        <v>-6.4492734175287211E-2</v>
      </c>
      <c r="U40" t="s">
        <v>26</v>
      </c>
      <c r="V40">
        <v>-0.11238269966426384</v>
      </c>
      <c r="W40">
        <v>-0.12262865413022594</v>
      </c>
    </row>
    <row r="41" spans="18:23" x14ac:dyDescent="0.3">
      <c r="R41">
        <v>15</v>
      </c>
      <c r="S41">
        <v>0.11461098423217315</v>
      </c>
      <c r="T41">
        <v>-3.8104526332149599E-2</v>
      </c>
      <c r="U41" t="s">
        <v>26</v>
      </c>
      <c r="V41">
        <v>-7.1604147743286189E-2</v>
      </c>
      <c r="W41">
        <v>-8.8842391260023412E-2</v>
      </c>
    </row>
    <row r="42" spans="18:23" x14ac:dyDescent="0.3">
      <c r="R42">
        <v>16</v>
      </c>
      <c r="S42">
        <v>0.15136985024746041</v>
      </c>
      <c r="T42">
        <v>-3.9263455147246756E-3</v>
      </c>
      <c r="U42" t="s">
        <v>26</v>
      </c>
      <c r="V42">
        <v>-4.0005161671583807E-2</v>
      </c>
      <c r="W42">
        <v>-7.7274542006740027E-2</v>
      </c>
    </row>
    <row r="43" spans="18:23" x14ac:dyDescent="0.3">
      <c r="R43">
        <v>0</v>
      </c>
      <c r="S43">
        <v>-0.82390874094431876</v>
      </c>
      <c r="T43">
        <v>-0.82390874094431876</v>
      </c>
      <c r="U43">
        <v>-0.82390874094431876</v>
      </c>
      <c r="V43">
        <v>-0.82390874094431876</v>
      </c>
      <c r="W43">
        <v>-0.82390874094431876</v>
      </c>
    </row>
    <row r="44" spans="18:23" x14ac:dyDescent="0.3">
      <c r="R44">
        <v>3</v>
      </c>
      <c r="S44">
        <v>-0.69036983257410123</v>
      </c>
      <c r="T44">
        <v>-0.67162039656126227</v>
      </c>
      <c r="U44">
        <v>-0.65955588515988162</v>
      </c>
      <c r="V44">
        <v>-0.65364702554936138</v>
      </c>
      <c r="W44">
        <v>-0.69036983257410123</v>
      </c>
    </row>
    <row r="45" spans="18:23" x14ac:dyDescent="0.3">
      <c r="R45">
        <v>6</v>
      </c>
      <c r="S45">
        <v>-0.40782324260413316</v>
      </c>
      <c r="T45">
        <v>-0.43651891460558934</v>
      </c>
      <c r="U45">
        <v>-0.44129142946683431</v>
      </c>
      <c r="V45">
        <v>-0.43889861635094402</v>
      </c>
      <c r="W45">
        <v>-0.46724562100750222</v>
      </c>
    </row>
    <row r="46" spans="18:23" x14ac:dyDescent="0.3">
      <c r="R46">
        <v>9</v>
      </c>
      <c r="S46">
        <v>-0.23136189875238555</v>
      </c>
      <c r="T46">
        <v>-0.24412514432750865</v>
      </c>
      <c r="U46">
        <v>-0.26680273489343054</v>
      </c>
      <c r="V46">
        <v>-0.24872089601665776</v>
      </c>
      <c r="W46">
        <v>-0.28819277095880896</v>
      </c>
    </row>
    <row r="47" spans="18:23" x14ac:dyDescent="0.3">
      <c r="R47">
        <v>10</v>
      </c>
      <c r="S47">
        <v>-0.14026143380285311</v>
      </c>
      <c r="T47">
        <v>-0.14630178822382564</v>
      </c>
      <c r="U47">
        <v>-0.17005330405836405</v>
      </c>
      <c r="V47">
        <v>-0.18708664335714442</v>
      </c>
      <c r="W47">
        <v>-0.17263072694617473</v>
      </c>
    </row>
    <row r="48" spans="18:23" x14ac:dyDescent="0.3">
      <c r="R48">
        <v>11</v>
      </c>
      <c r="S48">
        <v>-7.5204004202087837E-2</v>
      </c>
      <c r="T48">
        <v>-0.13906337929990631</v>
      </c>
      <c r="U48">
        <v>-0.14996674231023099</v>
      </c>
      <c r="V48">
        <v>-0.13135556160517428</v>
      </c>
      <c r="W48">
        <v>-0.15614457737683893</v>
      </c>
    </row>
    <row r="49" spans="18:23" x14ac:dyDescent="0.3">
      <c r="R49">
        <v>12</v>
      </c>
      <c r="S49">
        <v>-8.3309926200514969E-3</v>
      </c>
      <c r="T49">
        <v>-0.13548891894160814</v>
      </c>
      <c r="U49">
        <v>-0.14387555575769967</v>
      </c>
      <c r="V49">
        <v>-0.15989390554324223</v>
      </c>
      <c r="W49">
        <v>-0.15739076038943792</v>
      </c>
    </row>
    <row r="50" spans="18:23" x14ac:dyDescent="0.3">
      <c r="R50">
        <v>13</v>
      </c>
      <c r="S50">
        <v>3.8620161949702782E-2</v>
      </c>
      <c r="T50">
        <v>-0.10902040301031106</v>
      </c>
      <c r="U50">
        <v>-0.11407366019856895</v>
      </c>
      <c r="V50">
        <v>-9.5284454721319037E-2</v>
      </c>
      <c r="W50">
        <v>-0.14691047014813446</v>
      </c>
    </row>
    <row r="51" spans="18:23" x14ac:dyDescent="0.3">
      <c r="R51">
        <v>14</v>
      </c>
      <c r="S51">
        <v>9.0963076595731676E-2</v>
      </c>
      <c r="T51">
        <v>-6.7019178076801841E-2</v>
      </c>
      <c r="U51">
        <v>-6.6006836168757702E-2</v>
      </c>
      <c r="V51">
        <v>-7.5720713938118356E-2</v>
      </c>
      <c r="W51">
        <v>-0.10292299679057967</v>
      </c>
    </row>
    <row r="52" spans="18:23" x14ac:dyDescent="0.3">
      <c r="R52">
        <v>15</v>
      </c>
      <c r="S52">
        <v>0.11226976841727061</v>
      </c>
      <c r="T52">
        <v>-4.7691990337874794E-2</v>
      </c>
      <c r="U52">
        <v>-5.7000406633959479E-2</v>
      </c>
      <c r="V52">
        <v>-3.9053804266168564E-2</v>
      </c>
      <c r="W52">
        <v>-6.7019178076801841E-2</v>
      </c>
    </row>
    <row r="53" spans="18:23" x14ac:dyDescent="0.3">
      <c r="R53">
        <v>16</v>
      </c>
      <c r="S53">
        <v>0.16524432612531087</v>
      </c>
      <c r="T53">
        <v>-6.1230850587887945E-3</v>
      </c>
      <c r="U53">
        <v>1.0299956639811961E-2</v>
      </c>
      <c r="V53">
        <v>-8.3309926200514969E-3</v>
      </c>
      <c r="W53">
        <v>-5.4531414868180264E-2</v>
      </c>
    </row>
    <row r="54" spans="18:23" x14ac:dyDescent="0.3">
      <c r="R54">
        <v>0</v>
      </c>
      <c r="S54">
        <v>-0.82390874094431876</v>
      </c>
      <c r="T54">
        <v>-0.82390874094431876</v>
      </c>
      <c r="U54">
        <v>-0.82390874094431876</v>
      </c>
      <c r="V54">
        <v>-0.82390874094431876</v>
      </c>
      <c r="W54">
        <v>-0.82390874094431876</v>
      </c>
    </row>
    <row r="55" spans="18:23" x14ac:dyDescent="0.3">
      <c r="R55">
        <v>3</v>
      </c>
      <c r="S55">
        <v>-0.64589156085259902</v>
      </c>
      <c r="T55">
        <v>-0.679853713888946</v>
      </c>
      <c r="U55">
        <v>-0.68824613894424569</v>
      </c>
      <c r="V55">
        <v>-0.69250396208678711</v>
      </c>
      <c r="W55">
        <v>-0.68193666503723849</v>
      </c>
    </row>
    <row r="56" spans="18:23" x14ac:dyDescent="0.3">
      <c r="R56">
        <v>6</v>
      </c>
      <c r="S56">
        <v>-0.44977164694490596</v>
      </c>
      <c r="T56">
        <v>-0.45469288353417592</v>
      </c>
      <c r="U56">
        <v>-0.44611697335612566</v>
      </c>
      <c r="V56">
        <v>-0.47237009912866135</v>
      </c>
      <c r="W56">
        <v>-0.45593195564972439</v>
      </c>
    </row>
    <row r="57" spans="18:23" x14ac:dyDescent="0.3">
      <c r="R57">
        <v>9</v>
      </c>
      <c r="S57">
        <v>-0.25806092227080107</v>
      </c>
      <c r="T57">
        <v>-0.25806092227080107</v>
      </c>
      <c r="U57">
        <v>-0.27164621797877153</v>
      </c>
      <c r="V57">
        <v>-0.2831622767004755</v>
      </c>
      <c r="W57">
        <v>-0.2749054789185309</v>
      </c>
    </row>
    <row r="58" spans="18:23" x14ac:dyDescent="0.3">
      <c r="R58">
        <v>10</v>
      </c>
      <c r="S58">
        <v>-0.15181088300860132</v>
      </c>
      <c r="T58">
        <v>-0.16367588429324828</v>
      </c>
      <c r="U58">
        <v>-0.17263072694617473</v>
      </c>
      <c r="V58">
        <v>-0.14996674231023099</v>
      </c>
      <c r="W58">
        <v>-0.18641901143180803</v>
      </c>
    </row>
    <row r="59" spans="18:23" x14ac:dyDescent="0.3">
      <c r="R59">
        <v>11</v>
      </c>
      <c r="S59">
        <v>-9.745322068600859E-2</v>
      </c>
      <c r="T59">
        <v>-0.14569395819891939</v>
      </c>
      <c r="U59">
        <v>-0.14327110961711742</v>
      </c>
      <c r="V59">
        <v>-0.15676722190199061</v>
      </c>
      <c r="W59">
        <v>-0.14996674231023099</v>
      </c>
    </row>
    <row r="60" spans="18:23" x14ac:dyDescent="0.3">
      <c r="R60">
        <v>12</v>
      </c>
      <c r="S60">
        <v>-2.6410376572743116E-2</v>
      </c>
      <c r="T60">
        <v>-0.14206473528057098</v>
      </c>
      <c r="U60">
        <v>-0.15242734085788781</v>
      </c>
      <c r="V60">
        <v>-0.14387555575769967</v>
      </c>
      <c r="W60">
        <v>-0.15490195998574319</v>
      </c>
    </row>
    <row r="61" spans="18:23" x14ac:dyDescent="0.3">
      <c r="R61">
        <v>13</v>
      </c>
      <c r="S61">
        <v>2.8164419424469872E-2</v>
      </c>
      <c r="T61">
        <v>-0.11463877996848799</v>
      </c>
      <c r="U61">
        <v>-0.12320502379929942</v>
      </c>
      <c r="V61">
        <v>-0.14086170270546919</v>
      </c>
      <c r="W61">
        <v>-0.15739076038943792</v>
      </c>
    </row>
    <row r="62" spans="18:23" x14ac:dyDescent="0.3">
      <c r="R62">
        <v>14</v>
      </c>
      <c r="S62">
        <v>7.7367905284156518E-2</v>
      </c>
      <c r="T62">
        <v>-8.4600164787730178E-2</v>
      </c>
      <c r="U62">
        <v>-8.4072788302884227E-2</v>
      </c>
      <c r="V62">
        <v>-9.745322068600859E-2</v>
      </c>
      <c r="W62">
        <v>-0.12667939818460122</v>
      </c>
    </row>
    <row r="63" spans="18:23" x14ac:dyDescent="0.3">
      <c r="R63">
        <v>15</v>
      </c>
      <c r="S63">
        <v>0.10243370568133631</v>
      </c>
      <c r="T63">
        <v>-5.2566278112949241E-2</v>
      </c>
      <c r="U63">
        <v>-4.6240308266771224E-2</v>
      </c>
      <c r="V63">
        <v>-5.6011124926228104E-2</v>
      </c>
      <c r="W63">
        <v>-9.9632871343529689E-2</v>
      </c>
    </row>
    <row r="64" spans="18:23" x14ac:dyDescent="0.3">
      <c r="R64">
        <v>16</v>
      </c>
      <c r="S64">
        <v>0.14363923527454328</v>
      </c>
      <c r="T64">
        <v>-2.3650020996726601E-2</v>
      </c>
      <c r="U64">
        <v>-3.385826726096737E-2</v>
      </c>
      <c r="V64">
        <v>-1.4573525916998339E-2</v>
      </c>
      <c r="W64">
        <v>-8.5128182459949631E-2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2025-10-15T05:08:00Z</dcterms:created>
  <dcterms:modified xsi:type="dcterms:W3CDTF">2025-11-03T23:43:50Z</dcterms:modified>
</cp:coreProperties>
</file>